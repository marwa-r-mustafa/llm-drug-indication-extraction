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shortcut-targets-by-id\10pDoOH0bRf05gXoenEvlq93ikq8U3qxC\01_Marwa\01_PhD\05_Publications\LLM paper\llm-drug-indication-extraction\level2_extraction_results\"/>
    </mc:Choice>
  </mc:AlternateContent>
  <xr:revisionPtr revIDLastSave="0" documentId="13_ncr:1_{4469DE84-4449-42AD-AEA4-9A80950880CA}" xr6:coauthVersionLast="47" xr6:coauthVersionMax="47" xr10:uidLastSave="{00000000-0000-0000-0000-000000000000}"/>
  <bookViews>
    <workbookView xWindow="-110" yWindow="-110" windowWidth="19420" windowHeight="10300" tabRatio="500" activeTab="1" xr2:uid="{00000000-000D-0000-FFFF-FFFF00000000}"/>
  </bookViews>
  <sheets>
    <sheet name="30 Case Audit" sheetId="1" r:id="rId1"/>
    <sheet name="20 Confirmed Sample" sheetId="2" r:id="rId2"/>
    <sheet name="Audit Summary" sheetId="3" r:id="rId3"/>
    <sheet name="Method and Source Note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2" i="3" l="1"/>
  <c r="B51" i="3"/>
  <c r="B50" i="3"/>
  <c r="B49" i="3"/>
  <c r="C49" i="3" s="1"/>
  <c r="B48" i="3"/>
  <c r="C48" i="3" s="1"/>
  <c r="B47" i="3"/>
  <c r="B46" i="3"/>
  <c r="B53" i="3" s="1"/>
  <c r="D42" i="3"/>
  <c r="C42" i="3"/>
  <c r="B42" i="3"/>
  <c r="E42" i="3" s="1"/>
  <c r="D41" i="3"/>
  <c r="C41" i="3"/>
  <c r="B41" i="3"/>
  <c r="E41" i="3" s="1"/>
  <c r="D40" i="3"/>
  <c r="D43" i="3" s="1"/>
  <c r="C40" i="3"/>
  <c r="C43" i="3" s="1"/>
  <c r="B40" i="3"/>
  <c r="E40" i="3" s="1"/>
  <c r="B36" i="3"/>
  <c r="B35" i="3"/>
  <c r="B37" i="3" s="1"/>
  <c r="B34" i="3"/>
  <c r="B33" i="3"/>
  <c r="B32" i="3"/>
  <c r="B31" i="3"/>
  <c r="C53" i="3" s="1"/>
  <c r="B24" i="3"/>
  <c r="B23" i="3"/>
  <c r="B22" i="3"/>
  <c r="B21" i="3"/>
  <c r="B20" i="3"/>
  <c r="E43" i="3" l="1"/>
  <c r="C50" i="3"/>
  <c r="B25" i="3"/>
  <c r="B27" i="3" s="1"/>
  <c r="B43" i="3"/>
  <c r="B26" i="3"/>
  <c r="C51" i="3"/>
  <c r="C46" i="3"/>
  <c r="C52" i="3"/>
  <c r="C47" i="3"/>
</calcChain>
</file>

<file path=xl/sharedStrings.xml><?xml version="1.0" encoding="utf-8"?>
<sst xmlns="http://schemas.openxmlformats.org/spreadsheetml/2006/main" count="735" uniqueCount="438">
  <si>
    <t>ID</t>
  </si>
  <si>
    <t>Original validator category</t>
  </si>
  <si>
    <t>Drug</t>
  </si>
  <si>
    <t>Extracted disease / target</t>
  </si>
  <si>
    <t>Manual review status</t>
  </si>
  <si>
    <t>Gemma extraction error</t>
  </si>
  <si>
    <t>Validator false negative</t>
  </si>
  <si>
    <t>Manual disposition</t>
  </si>
  <si>
    <t>Evidence rationale</t>
  </si>
  <si>
    <t>Sources discussed / reviewed</t>
  </si>
  <si>
    <t>External evidence conclusion</t>
  </si>
  <si>
    <t>Failure / review mechanism</t>
  </si>
  <si>
    <t>Exact URL</t>
  </si>
  <si>
    <t>Audit compilation date</t>
  </si>
  <si>
    <t>UNRESOLVED</t>
  </si>
  <si>
    <t>Amikacin</t>
  </si>
  <si>
    <t>bone and joint infections</t>
  </si>
  <si>
    <t>TRUE INDICATION / REGULATORY_SEMANTIC_SUPPORT</t>
  </si>
  <si>
    <t>NO</t>
  </si>
  <si>
    <t>YES</t>
  </si>
  <si>
    <t>validator false negative</t>
  </si>
  <si>
    <t>DailyMed wording describes infections of bones and joints</t>
  </si>
  <si>
    <t>DrugBank; DailyMed</t>
  </si>
  <si>
    <t>DailyMed support identified</t>
  </si>
  <si>
    <t>Word-order / phrasing</t>
  </si>
  <si>
    <t>https://dailymed.nlm.nih.gov/dailymed/drugInfo.cfm?setid=0b56f6df-a05d-4520-8bf0-d7cefe20f6ad</t>
  </si>
  <si>
    <t>2026-10-01 (compilation; not source access date)</t>
  </si>
  <si>
    <t>Riociguat</t>
  </si>
  <si>
    <t>idiopathic/heritable pulmonary artery hypertension</t>
  </si>
  <si>
    <t>TRUE INDICATION / SUPPORTED_BUT_QUALIFIED</t>
  </si>
  <si>
    <t>Supported with qualifier</t>
  </si>
  <si>
    <t>PAH (WHO Group 1) label; idiopathic/heritable subgroups in supporting clinical description</t>
  </si>
  <si>
    <t>DailyMed indication for PAH</t>
  </si>
  <si>
    <t>Abbreviation / qualifier</t>
  </si>
  <si>
    <t xml:space="preserve">https://dailymed.nlm.nih.gov/dailymed/drugInfo.cfm?setid=8092c64b-e240-43c3-9d2e-e0dd7708d96f </t>
  </si>
  <si>
    <t>Tyrosine</t>
  </si>
  <si>
    <t>depression</t>
  </si>
  <si>
    <t>EXTERNAL_REGULATORY_UNCONFIRMED</t>
  </si>
  <si>
    <t>Unknown</t>
  </si>
  <si>
    <t>Keep in review</t>
  </si>
  <si>
    <t>Source mentions antidepressant activity with uncertain evidence; no official indication established</t>
  </si>
  <si>
    <t>DrugBank; regulatory label search</t>
  </si>
  <si>
    <t>No suitable regulatory confirmation established</t>
  </si>
  <si>
    <t>Uncertain evidence context</t>
  </si>
  <si>
    <t>Not preserved in available review notes</t>
  </si>
  <si>
    <t>Ampicillin</t>
  </si>
  <si>
    <t>GI infection</t>
  </si>
  <si>
    <t>SUPPORTED_SEMANTIC_EQUIVALENT</t>
  </si>
  <si>
    <t>DailyMed uses Gastrointestinal Infections</t>
  </si>
  <si>
    <t>Abbreviation / morphology</t>
  </si>
  <si>
    <t xml:space="preserve">https://dailymed.nlm.nih.gov/dailymed/drugInfo.cfm?setid=302e6df7-37c5-4625-8a61-3e2f302addf2 </t>
  </si>
  <si>
    <t>Fluoxetine</t>
  </si>
  <si>
    <t>predmenstrual dysphoric disorder</t>
  </si>
  <si>
    <t>SOURCE_SUPPORTED_EXTRACTION / EXTERNAL_REGULATORY_UNCONFIRMED</t>
  </si>
  <si>
    <t xml:space="preserve">small spelling mistake </t>
  </si>
  <si>
    <t>Source refers to premenstrual dysphoric disorder; extraction has typo; checked label did not list PMDD</t>
  </si>
  <si>
    <t>DrugBank; DrugCentral; DailyMed</t>
  </si>
  <si>
    <t>Regulatory support not established in checked label, Drugcentral : Premenstrual dysphoric disorder</t>
  </si>
  <si>
    <t>Typo / source discordance</t>
  </si>
  <si>
    <t xml:space="preserve">https://drugcentral.org/drugcard/1209?q=Fluoxetine </t>
  </si>
  <si>
    <t>UNSUPPORTED_TEXT_GROUNDED</t>
  </si>
  <si>
    <t>Phenelzine</t>
  </si>
  <si>
    <t>bipolar disorder</t>
  </si>
  <si>
    <t>NOT_SUPPORTED_AS_INDICATION</t>
  </si>
  <si>
    <t>Extraction error</t>
  </si>
  <si>
    <t>Mention is contextual/comorbidity; label concerns depression</t>
  </si>
  <si>
    <t>No bipolar indication in checked label</t>
  </si>
  <si>
    <t>Clinical context</t>
  </si>
  <si>
    <t>Echothiophate</t>
  </si>
  <si>
    <t>subacute or chronic angle-closure glaucoma</t>
  </si>
  <si>
    <t>SOURCE_DISCORDANCE_EXTERNAL_UNCONFIRMED</t>
  </si>
  <si>
    <t>DrugBank supports conditional use after iridectomy or when surgery unavailable; checked label describes other indications</t>
  </si>
  <si>
    <t>DrugBank; DailyMed (PHOSPHOLINE IODIDE)</t>
  </si>
  <si>
    <t>Specific external confirmation not established</t>
  </si>
  <si>
    <t>Source/label discordance</t>
  </si>
  <si>
    <t xml:space="preserve">https://dailymed.nlm.nih.gov/dailymed/drugInfo.cfm?setid=8afc8951-db76-4f27-8752-7c0d6aa47244 </t>
  </si>
  <si>
    <t>Rivaroxaban</t>
  </si>
  <si>
    <t>venous thromboembolic events</t>
  </si>
  <si>
    <t>DailyMed describes venous thromboembolism (VTE), drug central describes as Venous thromboembolic disease</t>
  </si>
  <si>
    <t>DrugBank; DailyMed; Drugcentral</t>
  </si>
  <si>
    <t>DailyMed equivalent terminology identified</t>
  </si>
  <si>
    <t>Terminology / synonym</t>
  </si>
  <si>
    <t xml:space="preserve">https://dailymed.nlm.nih.gov/dailymed/drugInfo.cfm?setid=c0efa9f9-ca7a-471a-8030-99056fa5da09 </t>
  </si>
  <si>
    <t>Vandetanib</t>
  </si>
  <si>
    <t>congenital long QT syndrome</t>
  </si>
  <si>
    <t>CONTRAINDICATION_NOT_INDICATION</t>
  </si>
  <si>
    <t>Mention occurs in contraindication context; label indication is medullary thyroid cancer</t>
  </si>
  <si>
    <t>Not an indication</t>
  </si>
  <si>
    <t>Contraindication</t>
  </si>
  <si>
    <t>https://dailymed.nlm.nih.gov/dailymed/drugInfo.cfm?setid=e5721cb8-4185-47b9-bbb3-1c587e558a03</t>
  </si>
  <si>
    <t>Gemcitabine</t>
  </si>
  <si>
    <t>transitional cell carcinoma of bladder</t>
  </si>
  <si>
    <t>DrugBank mentions advanced/metastatic bladder TCC with cisplatin; checked label did not list bladder indication</t>
  </si>
  <si>
    <t>DrugBank; DailyMed;DrugCentral</t>
  </si>
  <si>
    <t>Not established in checked label</t>
  </si>
  <si>
    <t>https://drugcentral.org/drugcard/1283?q=Gemcitabine ; https://dailymed.nlm.nih.gov/dailymed/drugInfo.cfm?setid=a5949d02-29eb-4626-ad35-b7614bb0fa95</t>
  </si>
  <si>
    <t>Prasugrel</t>
  </si>
  <si>
    <t>atherothrombotic events</t>
  </si>
  <si>
    <t>Label describes reduction of thrombotic cardiovascular events in ACS/PCI population</t>
  </si>
  <si>
    <t>DrugBank; DailyMed; UMLS</t>
  </si>
  <si>
    <t>Equivalent indication context found</t>
  </si>
  <si>
    <t>Terminology / qualifier</t>
  </si>
  <si>
    <t xml:space="preserve">https://dailymed.nlm.nih.gov/dailymed/drugInfo.cfm?setid=8b67ca60-d7e4-4c04-bbc6-dae86a7c7675 </t>
  </si>
  <si>
    <t>Metronidazole</t>
  </si>
  <si>
    <t>Helicobacter pylori infection</t>
  </si>
  <si>
    <t>OFF_LABEL_USE_NOT_APPROVED_INDICATION</t>
  </si>
  <si>
    <t>Do not auto-approve as labelled indication</t>
  </si>
  <si>
    <t>DrugBank explicitly identifies off-label use; combination product does not prove monotherapy indication</t>
  </si>
  <si>
    <t>Monotherapy approval not established</t>
  </si>
  <si>
    <t>Off-label / formulation</t>
  </si>
  <si>
    <t>Simoctocog alfa</t>
  </si>
  <si>
    <t>von Willebrand disease</t>
  </si>
  <si>
    <t>EXPLICIT_NEGATION_NOT_INDICATION</t>
  </si>
  <si>
    <t>DrugBank explicitly states not indicated</t>
  </si>
  <si>
    <t>DrugBank; UMLS</t>
  </si>
  <si>
    <t>Source negates indication</t>
  </si>
  <si>
    <t>not indicated for ... von Willebrand Disease</t>
  </si>
  <si>
    <t>Caffeine</t>
  </si>
  <si>
    <t>respiratory depression</t>
  </si>
  <si>
    <t>MANUAL_REVIEW_EXTERNAL_CHECK_INCOMPLETE</t>
  </si>
  <si>
    <t>DrugBank describes combination with sodium benzoate for overdose-associated respiratory depression; external check usualy Caffeine is mixed with other medication no separate cafeine on any resource</t>
  </si>
  <si>
    <t>DrugBank, DailyMed, DrugCentral, FDA</t>
  </si>
  <si>
    <t>completed</t>
  </si>
  <si>
    <t>Combination / qualifier</t>
  </si>
  <si>
    <t>Bethanechol</t>
  </si>
  <si>
    <t>postoperative urinary retention</t>
  </si>
  <si>
    <t>TRUE INDICATION / CONFIRMED_EXTERNAL_AUTHORITATIVE</t>
  </si>
  <si>
    <t>DrugBank supports functional postoperative retention; external regulatory confirmation in drug central but in drug bank name is different frrom drug central, DFA has NCBI link</t>
  </si>
  <si>
    <t>DrugBank; UMLS; DailyMed/openFDA review</t>
  </si>
  <si>
    <t>Terminology /phrasing</t>
  </si>
  <si>
    <t>https://drugcentral.org/drugcard/358?q=Bethanechol; https://www.ncbi.nlm.nih.gov/sites/books/NBK560587/</t>
  </si>
  <si>
    <t>Clotrimazole</t>
  </si>
  <si>
    <t>leukemia</t>
  </si>
  <si>
    <t>PATIENT_CONTEXT_NOT_INDICATION</t>
  </si>
  <si>
    <t>Leukemia refers to immunocompromised patient/treatment context; target is oropharyngeal candidiasis</t>
  </si>
  <si>
    <t>Label supports candidiasis, not leukemia</t>
  </si>
  <si>
    <t>Patient context</t>
  </si>
  <si>
    <t>https://dailymed.nlm.nih.gov/dailymed/fda/fdaDrugXsl.cfm?setid=a0829286-e9fc-442c-82d1-8268e1110109</t>
  </si>
  <si>
    <t>Avapritinib</t>
  </si>
  <si>
    <t>mast cell leukemia</t>
  </si>
  <si>
    <t>SUPPORTED_REGULATORY_SUBTYPE</t>
  </si>
  <si>
    <t>AYVAKIT label indicates advanced systemic mastocytosis, including mast cell leukemia</t>
  </si>
  <si>
    <t>DrugBank; DailyMed (AYVAKIT)</t>
  </si>
  <si>
    <t>Regulatory subtype support identified</t>
  </si>
  <si>
    <t>Hierarchy / subtype</t>
  </si>
  <si>
    <t>https://dailymed.nlm.nih.gov/dailymed/drugInfo.cfm?setid=645c887c-8cd4-4623-8da9-ac223d71a8b9</t>
  </si>
  <si>
    <t>Tapentadol</t>
  </si>
  <si>
    <t>drug abuse</t>
  </si>
  <si>
    <t>SAFETY_RISK_NOT_INDICATION</t>
  </si>
  <si>
    <t>Drug abuse is listed as a risk, not a treatment indication</t>
  </si>
  <si>
    <t>Safety / adverse risk</t>
  </si>
  <si>
    <t>https://dailymed.nlm.nih.gov/dailymed/drugInfo.cfm?setid=e0ecb809-6a55-4afe-b981-b8f174e5c344</t>
  </si>
  <si>
    <t>Turoctocog alfa pegol</t>
  </si>
  <si>
    <t>DrugBank explicitly states not indicated for von Willebrand disease</t>
  </si>
  <si>
    <t>DrugBank; DailyMed search</t>
  </si>
  <si>
    <t>Source negates indication; suitable label not located in audit</t>
  </si>
  <si>
    <t>Negation</t>
  </si>
  <si>
    <t>Tafenoquine</t>
  </si>
  <si>
    <t>hypnozoites</t>
  </si>
  <si>
    <t>NON_DISEASE_PARASITE_FORM</t>
  </si>
  <si>
    <t>Hypnozoites are dormant parasite forms, not disease indication; different product indication context matters</t>
  </si>
  <si>
    <t>DrugBank; DailyMed (ARAKODA)</t>
  </si>
  <si>
    <t>ARAKODA prophylaxis not equivalent to relapse product</t>
  </si>
  <si>
    <t>Entity type / formulation</t>
  </si>
  <si>
    <t>2-Deoxyglucose</t>
  </si>
  <si>
    <t>solid tumors</t>
  </si>
  <si>
    <t>INVESTIGATIONAL_NOT_APPROVED</t>
  </si>
  <si>
    <t>Do not auto-approve</t>
  </si>
  <si>
    <t>DrugBank explicitly says no approved therapeutic indication; potential adjunctive use</t>
  </si>
  <si>
    <t>DrugBank; PubChem</t>
  </si>
  <si>
    <t>PubChem supportive text only; no approval</t>
  </si>
  <si>
    <t>Investigational / hypothetical</t>
  </si>
  <si>
    <t>https://pubchem.ncbi.nlm.nih.gov/compound/2-Deoxyglucose#section=Drug-Indication</t>
  </si>
  <si>
    <t>Sipavibart</t>
  </si>
  <si>
    <t>COVID-19</t>
  </si>
  <si>
    <t>SOURCE_SUPPORTED_PROPHYLAXIS_EXTERNAL_UNCONFIRMED</t>
  </si>
  <si>
    <t>DrugBank supports pre-exposure prophylaxis for qualified population; independent regulatory support not established</t>
  </si>
  <si>
    <t>DrugBank; regulatory source search</t>
  </si>
  <si>
    <t>Not established in recorded review</t>
  </si>
  <si>
    <t>Prevention vs treatment / jurisdiction</t>
  </si>
  <si>
    <t>Somatotropin</t>
  </si>
  <si>
    <t>adult-onset growth hormone deficiency</t>
  </si>
  <si>
    <t>SOURCE_SUPPORTED_EXTERNAL_UNCONFIRMED</t>
  </si>
  <si>
    <t>DrugBank supports adult-onset GHD; retrieved label wording too generic</t>
  </si>
  <si>
    <t>Specific regulatory confirmation not established</t>
  </si>
  <si>
    <t>Insufficient specificity</t>
  </si>
  <si>
    <t>https://dailymed.nlm.nih.gov/dailymed/drugInfo.cfm?setid=e95023fe-8e00-472e-ab38-b5a5172d614d ; https://drugcentral.org/drugcard/4848?q=somatropin</t>
  </si>
  <si>
    <t>chronic kidney disease</t>
  </si>
  <si>
    <t>SUPPORTED_BUT_OVERGENERALIZED</t>
  </si>
  <si>
    <t>Revise extracted target</t>
  </si>
  <si>
    <t>Actual target is growth failure associated with CKD, not CKD itself</t>
  </si>
  <si>
    <t>DrugBank; Mayo Clinic</t>
  </si>
  <si>
    <t>Clinical context support, not regulatory proof</t>
  </si>
  <si>
    <t>Overgeneralization / qualifier</t>
  </si>
  <si>
    <t>https://dailymed.nlm.nih.gov/dailymed/drugInfo.cfm?setid=ffebf88b-d257-4542-9808-74d9b7167765 ; https://drugcentral.org/drugcard/4848?q=somatropin</t>
  </si>
  <si>
    <t>Tretinoin</t>
  </si>
  <si>
    <t>PML/RARα</t>
  </si>
  <si>
    <t>BIOMARKER_NOT_DISEASE</t>
  </si>
  <si>
    <t>PML/RARα is molecular feature defining APL, not disease; oral/topical formulation distinction</t>
  </si>
  <si>
    <t>DrugBank; Mayo Clinic (topical page)</t>
  </si>
  <si>
    <t>Topical page cannot validate oral APL indication</t>
  </si>
  <si>
    <t>Biomarker / formulation</t>
  </si>
  <si>
    <t>https://drugcentral.org/drugcard/2722?q=Tretinoin</t>
  </si>
  <si>
    <t>NON_THERAPEUTIC_INDICATION_REVIEW</t>
  </si>
  <si>
    <t>Bicisate</t>
  </si>
  <si>
    <t>stroke</t>
  </si>
  <si>
    <t>CORRECT_NON_THERAPEUTIC</t>
  </si>
  <si>
    <t>Safety gate appropriate</t>
  </si>
  <si>
    <t>Tc99m bicisate used as imaging/localization adjunct</t>
  </si>
  <si>
    <t>DrugBank; regulatory label review</t>
  </si>
  <si>
    <t>Diagnostic/localization, not treatment</t>
  </si>
  <si>
    <t>Diagnostic localization</t>
  </si>
  <si>
    <t>https://dailymed.nlm.nih.gov/dailymed/drugInfo.cfm?setid=e094cb1d-80fe-4277-b8f4-9817918f8c76</t>
  </si>
  <si>
    <t>Gadodiamide</t>
  </si>
  <si>
    <t>intracranial lesions</t>
  </si>
  <si>
    <t>MRI contrast visualization of lesions</t>
  </si>
  <si>
    <t>Imaging, not treatment</t>
  </si>
  <si>
    <t>Diagnostic imaging</t>
  </si>
  <si>
    <t>https://dailymed.nlm.nih.gov/dailymed/drugInfo.cfm?setid=1e9a37e2-f28a-4373-bf0f-3e9b60f42d8a</t>
  </si>
  <si>
    <t>Technetium Tc-99m pertechnetate</t>
  </si>
  <si>
    <t>nasolacrimal drainage system</t>
  </si>
  <si>
    <t>CORRECT_NON_THERAPEUTIC - DIAGNOSTIC_IMAGING + NON_DISEASE_ENTITY</t>
  </si>
  <si>
    <t>Dacryoscintigraphy imaging of anatomical drainage system</t>
  </si>
  <si>
    <t>Anatomical target, not disease treatment</t>
  </si>
  <si>
    <t>Imaging / non-disease entity</t>
  </si>
  <si>
    <t>https://dailymed.nlm.nih.gov/dailymed/drugInfo.cfm?setid=3ae14c6b-3daf-4dd1-bbdb-e990fe8100e4</t>
  </si>
  <si>
    <t>Florbetapir F-18</t>
  </si>
  <si>
    <t>Alzheimer’s disease</t>
  </si>
  <si>
    <t>AMYVID PET imaging of brain amyloid in Alzheimer evaluation</t>
  </si>
  <si>
    <t>DrugBank; DailyMed (AMYVID)</t>
  </si>
  <si>
    <t>Regulatory diagnostic role identified</t>
  </si>
  <si>
    <t>PET imaging</t>
  </si>
  <si>
    <t>https://dailymed.nlm.nih.gov/dailymed/drugInfo.cfm?setid=bb5a5043-0f51-11df-8a39-0800200c9a66</t>
  </si>
  <si>
    <t>Iopromide</t>
  </si>
  <si>
    <t>imaging-related target</t>
  </si>
  <si>
    <t>ULTRAVIST iodinated contrast for imaging/CT lesion evaluation</t>
  </si>
  <si>
    <t>DrugBank; DailyMed (ULTRAVIST)</t>
  </si>
  <si>
    <t>Contrast imaging</t>
  </si>
  <si>
    <t>https://dailymed.nlm.nih.gov/dailymed/drugInfo.cfm?setid=65647318-27e4-4f37-bd68-50eea52d6c5b</t>
  </si>
  <si>
    <t>Relation ID</t>
  </si>
  <si>
    <t>Pipeline evidence sources</t>
  </si>
  <si>
    <t>Pipeline regulatory URL</t>
  </si>
  <si>
    <t>Manual judgement</t>
  </si>
  <si>
    <t>Validator false positive</t>
  </si>
  <si>
    <t>Review date</t>
  </si>
  <si>
    <t>CONFIRMED_DRUGCENTRAL_CUI_AND_REGULATORY</t>
  </si>
  <si>
    <t>Belimumab</t>
  </si>
  <si>
    <t>systemic lupus erythematosus</t>
  </si>
  <si>
    <t>DrugCentral; DailyMed; FDA/openFDA</t>
  </si>
  <si>
    <t>https://dailymed.nlm.nih.gov/dailymed/drugInfo.cfm?setid=2fa3c528-1777-4628-8a55-a69dae2381a3 , https://drugcentral.org/drugcard/4949?q=Belimumab , https://api.fda.gov/drug/label.json?search=openfda.generic_name:belimumab&amp;limit=10</t>
  </si>
  <si>
    <t>CORRECT</t>
  </si>
  <si>
    <t>The Belimumab-systemic lupus erythematosus relation was confirmed through manual review. DrugCentral lists systemic lupus erythematosus as an indication for belimumab, and both DailyMed and openFDA confirm its use for treating active systemic lupus erythematosus. UMLS also identifies the disease under CUI C0024141. The evidence supports the extracted relation, and the validator's confirmation was correct.</t>
  </si>
  <si>
    <t>CONFIRMED_REGULATORY</t>
  </si>
  <si>
    <t>Doxepin</t>
  </si>
  <si>
    <t>organic disease</t>
  </si>
  <si>
    <t>DailyMed; FDA/openFDA</t>
  </si>
  <si>
    <t>https://dailymed.nlm.nih.gov/dailymed/drugInfo.cfm?setid=e6a4cb10-1928-4abe-8797-404c9ddc37dd&amp;utm_source=chatgpt.com</t>
  </si>
  <si>
    <t>incorrect</t>
  </si>
  <si>
    <t>DailyMed mentions organic disease in the Indications and Usage section, but only in relation to depression or anxiety associated with an underlying organic disease. Doxepin is used to treat depression or anxiety, not the organic disease itself. The extracted relation therefore misinterprets the clinical context and should not have been automatically confirmed.</t>
  </si>
  <si>
    <t>CONFIRMED_DRUGCENTRAL_CUI_DISAMBIGUATED_AND_REGULATORY</t>
  </si>
  <si>
    <t>Burosumab</t>
  </si>
  <si>
    <t>X-linked hypophosphatemia</t>
  </si>
  <si>
    <t xml:space="preserve"> – </t>
  </si>
  <si>
    <t>DailyMed;DrugCentral</t>
  </si>
  <si>
    <t>https://dailymed.nlm.nih.gov/dailymed/drugInfo.cfm?setid=102f96a0-6e3a-4fc1-b204-34d604683af6 , https://drugcentral.org/drugcard/5282?q=Burosumab</t>
  </si>
  <si>
    <t>DailyMed confirms that burosumab (Crysvita) is indicated for treating X-linked hypophosphatemia. DrugCentral also lists the condition under the related name familial X-linked hypophosphatemic rickets, and UMLS supports the disease terminology. The extracted relation is correct and agrees with the available regulatory and structured evidence.</t>
  </si>
  <si>
    <t>no</t>
  </si>
  <si>
    <t>Tobramycin</t>
  </si>
  <si>
    <t>intra-abdominal infections</t>
  </si>
  <si>
    <t>DailyMed</t>
  </si>
  <si>
    <t>https://dailymed.nlm.nih.gov/dailymed/drugInfo.cfm?setid=a9897444-71f6-42af-9b71-4aa77829ade0</t>
  </si>
  <si>
    <t>Tobramycin-&gt;intra-abdominal infections was supported by the DailyMed prescribing information, which lists intra-abdominal infections among the indications for tobramycin injection. This supports the extracted drug-disease relationship and the validator's automatic confirmation.</t>
  </si>
  <si>
    <t>Misoprostol</t>
  </si>
  <si>
    <t>osteoarthritis</t>
  </si>
  <si>
    <t>DrugCentral</t>
  </si>
  <si>
    <t>https://drugcentral.org/drugcard/1817?q=Misoprostol</t>
  </si>
  <si>
    <t>Drug central says it has indication for "Osteoarthritis in Patients at High Ulcer Risk"</t>
  </si>
  <si>
    <t>Semaglutide</t>
  </si>
  <si>
    <t>obesity</t>
  </si>
  <si>
    <t xml:space="preserve">DrugCentral; </t>
  </si>
  <si>
    <t>https://drugcentral.org/drugcard/5267?q=Semaglutide</t>
  </si>
  <si>
    <t>DrugCentral lists obesity as an indication for semaglutide. This is consistent with the therapeutic use of semaglutide for weight management in patients with obesity. The extracted relation is supported by DrugCentral and appears to have been correctly confirmed by the validator.</t>
  </si>
  <si>
    <t>CONFIRMED_DRUGCENTRAL_CUI</t>
  </si>
  <si>
    <t>Guanidine</t>
  </si>
  <si>
    <t>Eaton-Lambert syndrome</t>
  </si>
  <si>
    <t>https://drugcentral.org/drugcard/1344?q=Guanidine</t>
  </si>
  <si>
    <t>DrugCentral lists Eaton-Lambert syndrome as an indication for guanidine, matching the extracted drug-disease relation. This provides structured evidence supporting the validator's confirmation.</t>
  </si>
  <si>
    <t>Ritlecitinib</t>
  </si>
  <si>
    <t>severe alopecia areata</t>
  </si>
  <si>
    <t>DailyMed; DrugCentral</t>
  </si>
  <si>
    <t>https://dailymed.nlm.nih.gov/dailymed/drugInfo.cfm?setid=6b2f9446-fb23-4741-b73a-5a2f993733c3 , https://drugcentral.org/drugcard/5728?q=Ritlecitinib</t>
  </si>
  <si>
    <t>DrugCentral and DailyMed both confirm that ritlecitinib (Litfulo) is indicated for the treatment of severe alopecia areata. The extracted relation matches the reported therapeutic indication, supporting the validator's automatic confirmation.</t>
  </si>
  <si>
    <t>Doxycycline</t>
  </si>
  <si>
    <t>malaria</t>
  </si>
  <si>
    <t>FDA/openFDA</t>
  </si>
  <si>
    <t>https://api.fda.gov/drug/label.json?search=openfda.generic_name:doxycycline&amp;limit=10</t>
  </si>
  <si>
    <t>The openFDA prescribing information confirms that doxycycline is indicated for malaria prophylaxis in travellers to areas with resistant Plasmodium falciparum. This supports the extracted malaria association as a preventive indication rather than direct treatment.</t>
  </si>
  <si>
    <t>Dexpanthenol</t>
  </si>
  <si>
    <t>paralytic ileus</t>
  </si>
  <si>
    <t>https://drugcentral.org/drugcard/838?q=Dexpanthenol</t>
  </si>
  <si>
    <t>DrugCentral lists paralytic ileus as an indication for dexpanthenol, matching the extracted drug-disease relation. This supports the validator's confirmation.</t>
  </si>
  <si>
    <t>Linagliptin</t>
  </si>
  <si>
    <t>type 1 diabetes</t>
  </si>
  <si>
    <t>https://dailymed.nlm.nih.gov/dailymed/drugInfo.cfm?setid=c797ea5c-cab7-494b-9044-27eba0cfe40f , https://drugcentral.org/drugcard/4175?q=Linagliptin , https://api.fda.gov/drug/label.json?search=openfda.brand_name:TRADJENTA&amp;limit=5</t>
  </si>
  <si>
    <t>INCORRECT</t>
  </si>
  <si>
    <t>Incorrect indication. DailyMed identifies linagliptin (TRADJENTA) as a treatment for type 2 diabetes mellitus and explicitly states that it is not recommended for patients with type 1 diabetes because it would not be effective. DrugCentral also lists type 2 diabetes as the indication, with no corresponding type 1 indication. The extracted relation is therefore a false positive, likely arising from failure to distinguish disease subtypes or interpret the negative statement in the regulatory label.</t>
  </si>
  <si>
    <t>Prednisolone phosphate</t>
  </si>
  <si>
    <t>hematologic disorders</t>
  </si>
  <si>
    <t>https://dailymed.nlm.nih.gov/dailymed/drugInfo.cfm?setid=ebbc1751-9381-4db1-89ff-ae5a2963fb2c</t>
  </si>
  <si>
    <t>DailyMed confirms that prednisolone phosphate is indicated for several hematologic disorders, including autoimmune hemolytic anemia, thrombocytopenia, and pure red cell aplasia. These conditions support the extracted broader indication of hematologic disorders. The relation is therefore considered correct.</t>
  </si>
  <si>
    <t>Methylprednisolone</t>
  </si>
  <si>
    <t>endocrine disorders</t>
  </si>
  <si>
    <t>DailyMed;</t>
  </si>
  <si>
    <t>https://dailymed.nlm.nih.gov/dailymed/drugInfo.cfm?setid=738753c7-507d-4881-5194-02dd7597768b</t>
  </si>
  <si>
    <t>DailyMed lists endocrine disorders under the approved indications for methylprednisolone sodium succinate, including adrenal insufficiency, congenital adrenal hyperplasia, and thyroiditis. This supports the extracted relation, although the indication applies to specific endocrine conditions rather than all endocrine disorders.</t>
  </si>
  <si>
    <t>Captopril</t>
  </si>
  <si>
    <t>essential hypertension</t>
  </si>
  <si>
    <t>DrugCentral;DailyMed</t>
  </si>
  <si>
    <t>https://dailymed.nlm.nih.gov/dailymed/drugInfo.cfm?setid=5b44ab6e-6cd9-4e12-b9be-d2e4d954acb5 , https://drugcentral.org/drugcard/484?q=Captopril</t>
  </si>
  <si>
    <t>DailyMed confirms that captopril is indicated for the treatment of hypertension, while DrugCentral lists hypertensive disorder as an indication. These findings support the extracted relation with essential hypertension, although the sources use broader terminology.</t>
  </si>
  <si>
    <t>Cyanocobalamin</t>
  </si>
  <si>
    <t>gluten enteropathy</t>
  </si>
  <si>
    <t>https://dailymed.nlm.nih.gov/dailymed/drugInfo.cfm?setid=cd8d188a-fa5d-4580-bcb1-ac8617118cbb</t>
  </si>
  <si>
    <t>CORRECT- partially as it is indirect relation</t>
  </si>
  <si>
    <t>DailyMed mentions gluten enteropathy under Indications and Usage, but cyanocobalamin is indicated for vitamin B12 deficiency resulting from malabsorption associated with this condition. It does not treat gluten enteropathy directly, so the extracted relationship is only indirectly supported (partially correct as it is indirect relation).</t>
  </si>
  <si>
    <t>inclusion conjunctivitis</t>
  </si>
  <si>
    <t>https://dailymed.nlm.nih.gov/dailymed/drugInfo.cfm?setid=ddd9a47e-7d7c-4d0c-aaa6-32702570f696</t>
  </si>
  <si>
    <t>The DailyMed label explicitly lists this condition under Indications and Usage as an approved treatment indication for doxycycline. This supports the extracted drug-disease relationship.</t>
  </si>
  <si>
    <t>Imipramine</t>
  </si>
  <si>
    <t xml:space="preserve">DrugCentral; DailyMed; </t>
  </si>
  <si>
    <t>https://dailymed.nlm.nih.gov/dailymed/drugInfo.cfm?setid=92ca69d4-cdba-4789-91a9-922664d52498 , https://drugcentral.org/drugcard/1427?q=Imipramine</t>
  </si>
  <si>
    <t>Both DrugCentral and DailyMed support this indication for imipramine. DrugCentral lists the condition as an indication, and the DailyMed label confirms its use under Indications and Usage.</t>
  </si>
  <si>
    <t>Sertraline</t>
  </si>
  <si>
    <t>major depressive disorder</t>
  </si>
  <si>
    <t>https://dailymed.nlm.nih.gov/dailymed/drugInfo.cfm?setid=a5c49e6e-b8e0-4a75-99e6-b88e323ce653 , https://drugcentral.org/drugcard/2436?q=Sertraline</t>
  </si>
  <si>
    <t>DrugCentral lists this condition as an indication for sertraline, and the DailyMed label also confirms its use under Indications and Usage. Both sources support the extracted drug–disease relationship.</t>
  </si>
  <si>
    <t>Sevabertinib</t>
  </si>
  <si>
    <t>HER2 (ERBB2) tyrosine kinase domain (TKD) activating mutations</t>
  </si>
  <si>
    <t>https://dailymed.nlm.nih.gov/dailymed/drugInfo.cfm?setid=d7a11334-6e7a-445b-9a16-bdcd9acbe61f</t>
  </si>
  <si>
    <t>DailyMed confirms sevabertinib as a treatment for locally advanced or metastatic non-squamous non-small cell lung cancer in adults whose tumors have HER2 activating mutations. The indication is approved under accelerated approval. This supports the extracted relationship, provided the specific cancer subtype and mutation requirements are retained.</t>
  </si>
  <si>
    <t>Alteplase</t>
  </si>
  <si>
    <t>acute myocardial infarction</t>
  </si>
  <si>
    <t>DrugCentral; DailyMed</t>
  </si>
  <si>
    <t>https://dailymed.nlm.nih.gov/dailymed/drugInfo.cfm?setid=c669f77c-fa48-478b-a14b-80b20a0139c2 ,  https://drugcentral.org/drugcard/5141?q=Alteplase</t>
  </si>
  <si>
    <t>Confirmed by both DrugCentral and DailyMed. Alteplase is indicated for acute myocardial infarction, acute ischemic stroke, and acute massive pulmonary embolism. All three relationships are supported by DrugCentral, while DailyMed provides explicit regulatory evidence under the Indications and Usage section. The specific clinical qualifiers should be preserved.</t>
  </si>
  <si>
    <t>Audit category</t>
  </si>
  <si>
    <t>Reviewed cases</t>
  </si>
  <si>
    <t>Total pipeline category</t>
  </si>
  <si>
    <t>TOTAL</t>
  </si>
  <si>
    <t>Study metric</t>
  </si>
  <si>
    <t>Value</t>
  </si>
  <si>
    <t>DrugBank records</t>
  </si>
  <si>
    <t>Candidate relations</t>
  </si>
  <si>
    <t>Automatically confirmed</t>
  </si>
  <si>
    <t>Routed to review</t>
  </si>
  <si>
    <t>Manual audit sample</t>
  </si>
  <si>
    <t>Interpretation</t>
  </si>
  <si>
    <t>Important qualification</t>
  </si>
  <si>
    <t>Sampling</t>
  </si>
  <si>
    <t>Purposefully selected cases; not representative of all review-routed relations</t>
  </si>
  <si>
    <t>Manual statuses</t>
  </si>
  <si>
    <t>Qualitative adjudications, not machine-generated final pipeline statuses</t>
  </si>
  <si>
    <t>Source verification</t>
  </si>
  <si>
    <t>URLs and retrieval timestamps not retained in available review summary; blank/unverified fields must not be interpreted as independent source archive</t>
  </si>
  <si>
    <t>Confirmed-sample check (random)</t>
  </si>
  <si>
    <t>How computed</t>
  </si>
  <si>
    <t>Sample</t>
  </si>
  <si>
    <t>Random 20 of 1,074 automatically confirmed relations (pandas sample, random_state = 42)</t>
  </si>
  <si>
    <t>Judged</t>
  </si>
  <si>
    <t>UNSURE</t>
  </si>
  <si>
    <t>Precision (CORRECT / judged)</t>
  </si>
  <si>
    <t>UNSURE counted as not correct (conservative)</t>
  </si>
  <si>
    <t>95% CI lower (Wilson)</t>
  </si>
  <si>
    <t>z = 1.96</t>
  </si>
  <si>
    <t>95% CI upper (Wilson)</t>
  </si>
  <si>
    <t>Review-routed audit (purposive, 30 cases)</t>
  </si>
  <si>
    <t>Cases reviewed</t>
  </si>
  <si>
    <t>20 UNSUPPORTED_TEXT_GROUNDED, 5 UNRESOLVED, 5 NON_THERAPEUTIC (purposive)</t>
  </si>
  <si>
    <t>Gemma extraction error = YES</t>
  </si>
  <si>
    <t>Column F</t>
  </si>
  <si>
    <t>Gemma extraction error = NO</t>
  </si>
  <si>
    <t>Gemma extraction error = other / uncertain</t>
  </si>
  <si>
    <t>Any value other than YES/NO (e.g. Unknown)</t>
  </si>
  <si>
    <t>Validator false negative = YES</t>
  </si>
  <si>
    <t>Column G: valid relation the validator missed</t>
  </si>
  <si>
    <t>Validator false negative = NO</t>
  </si>
  <si>
    <t>Validator false negative = other / uncertain</t>
  </si>
  <si>
    <t>By validator category</t>
  </si>
  <si>
    <t>Reviewed</t>
  </si>
  <si>
    <t>Extraction error = YES</t>
  </si>
  <si>
    <t>Neither (kept in review / uncertain)</t>
  </si>
  <si>
    <t>Cases</t>
  </si>
  <si>
    <t>% of audited cases</t>
  </si>
  <si>
    <t>TOTAL (should equal cases reviewed)</t>
  </si>
  <si>
    <t>Note</t>
  </si>
  <si>
    <t>No precision or confidence interval is computed for this audit: cases were purposively selected to characterise failure mechanisms, so percentages describe the audited cases only and are not extrapolated to the 1,036 review-routed relations.</t>
  </si>
  <si>
    <t>Field</t>
  </si>
  <si>
    <t>Definition / use</t>
  </si>
  <si>
    <t>Scope</t>
  </si>
  <si>
    <t>30 purposively selected relations: 20 unsupported, 5 unresolved, 5 non-therapeutic.</t>
  </si>
  <si>
    <t>Review basis</t>
  </si>
  <si>
    <t>Reconstructed from the prior case-by-case review recorded in this project; NOT a fresh external verification.</t>
  </si>
  <si>
    <t>Status assigned by the automated pipeline prior to human review.</t>
  </si>
  <si>
    <t>Qualitative decision after examining DrugBank indication text and available external evidence.</t>
  </si>
  <si>
    <t>Interpretation for audit; does not rewrite the original pipeline CSV.</t>
  </si>
  <si>
    <t>Brief reason for the manual adjudication.</t>
  </si>
  <si>
    <t>Source names previously discussed; does not imply all sources were successfully retrieved for each row.</t>
  </si>
  <si>
    <t>Distinguishes regulatory confirmation, source-only support, and incomplete checks.</t>
  </si>
  <si>
    <t>No exact URLs were preserved in the accessible review summary; field is explicitly unverified.</t>
  </si>
  <si>
    <t>Individual source access dates not available. Compilation date is NOT review/access date.</t>
  </si>
  <si>
    <t>Evidence hierarchy</t>
  </si>
  <si>
    <t>DailyMed / FDA labels primary for regulatory claims; DrugBank for extraction context; UMLS for concept identity; PubChem/Mayo supporting only.</t>
  </si>
  <si>
    <t>Caution</t>
  </si>
  <si>
    <t>Unsupported by automatic matcher ≠ false extraction. No population accuracy estimate from this purposive audit.</t>
  </si>
  <si>
    <t>Next archival step</t>
  </si>
  <si>
    <t>Add exact product-label SETID, source URL, label revision, access date, and a saved PDF/screenshot for each regulatory finding.</t>
  </si>
  <si>
    <t>Manuscript location</t>
  </si>
  <si>
    <t>Section 5.8 manual analysis and Table 8 of the latest manuscript.</t>
  </si>
  <si>
    <t>Confirmed sample</t>
  </si>
  <si>
    <t>Separate random check: 20 of the 1,074 automatically confirmed relations (random_state = 42; script sample20.py). Measures how often a confirmation is correct; not combined with the 30 purposive cases.</t>
  </si>
  <si>
    <t>CORRECT = DrugBank text states the drug treats/prevents/manages the disease AND the UMLS concept means that disease. INCORRECT = either fails. UNSURE = cannot decide from the text.</t>
  </si>
  <si>
    <t>YES when the pipeline confirmed the relation but the manual judgement is INCORRECT.</t>
  </si>
  <si>
    <t>Data licence</t>
  </si>
  <si>
    <t>The DrugBank indication text column is for private checking only; remove it before sharing or depositing this workbook.</t>
  </si>
  <si>
    <t>C0024141</t>
  </si>
  <si>
    <t>C0683324</t>
  </si>
  <si>
    <t>C1112209</t>
  </si>
  <si>
    <t>C0029408</t>
  </si>
  <si>
    <t>C0022972</t>
  </si>
  <si>
    <t>C0024530</t>
  </si>
  <si>
    <t>C0030446</t>
  </si>
  <si>
    <t>C0011854</t>
  </si>
  <si>
    <t>C0018939</t>
  </si>
  <si>
    <t>C0014130</t>
  </si>
  <si>
    <t>C0085580</t>
  </si>
  <si>
    <t>C1269683</t>
  </si>
  <si>
    <t>C0155626</t>
  </si>
  <si>
    <t>UMLS concept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</si>
</sst>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4" x14ac:knownFonts="1">
    <font>
      <sz val="11"/>
      <name val="Calibri"/>
      <charset val="1"/>
    </font>
    <font>
      <sz val="11"/>
      <color rgb="FF000000"/>
      <name val="Calibri"/>
      <charset val="1"/>
    </font>
    <font>
      <b/>
      <sz val="11"/>
      <color rgb="FF000000"/>
      <name val="Calibri"/>
      <charset val="1"/>
    </font>
    <font>
      <u/>
      <sz val="11"/>
      <color theme="10"/>
      <name val="Calibri"/>
      <charset val="1"/>
    </font>
  </fonts>
  <fills count="3">
    <fill>
      <patternFill patternType="none"/>
    </fill>
    <fill>
      <patternFill patternType="gray125"/>
    </fill>
    <fill>
      <patternFill patternType="solid">
        <fgColor theme="0"/>
        <bgColor rgb="FFFFFFCC"/>
      </patternFill>
    </fill>
  </fills>
  <borders count="1">
    <border>
      <left/>
      <right/>
      <top/>
      <bottom/>
      <diagonal/>
    </border>
  </borders>
  <cellStyleXfs count="2">
    <xf numFmtId="0" fontId="0" fillId="0" borderId="0"/>
    <xf numFmtId="0" fontId="3" fillId="0" borderId="0"/>
  </cellStyleXfs>
  <cellXfs count="14">
    <xf numFmtId="0" fontId="0" fillId="0" borderId="0" xfId="0"/>
    <xf numFmtId="0" fontId="0" fillId="2" borderId="0" xfId="0" applyFill="1"/>
    <xf numFmtId="0" fontId="1" fillId="2" borderId="0" xfId="0" applyFont="1" applyFill="1" applyAlignment="1">
      <alignment vertical="top" wrapText="1"/>
    </xf>
    <xf numFmtId="0" fontId="2" fillId="2" borderId="0" xfId="0" applyFont="1" applyFill="1" applyAlignment="1">
      <alignment vertical="top" wrapText="1"/>
    </xf>
    <xf numFmtId="0" fontId="3" fillId="2" borderId="0" xfId="1" applyFill="1" applyAlignment="1">
      <alignment vertical="top" wrapText="1"/>
    </xf>
    <xf numFmtId="0" fontId="2" fillId="0" borderId="0" xfId="0" applyFont="1" applyAlignment="1">
      <alignment vertical="center" wrapText="1"/>
    </xf>
    <xf numFmtId="0" fontId="1" fillId="0" borderId="0" xfId="0" applyFont="1" applyAlignment="1">
      <alignment vertical="top" wrapText="1"/>
    </xf>
    <xf numFmtId="0" fontId="3" fillId="0" borderId="0" xfId="1"/>
    <xf numFmtId="164" fontId="1" fillId="0" borderId="0" xfId="0" applyNumberFormat="1" applyFont="1" applyAlignment="1">
      <alignment vertical="top" wrapText="1"/>
    </xf>
    <xf numFmtId="0" fontId="2" fillId="0" borderId="0" xfId="0" applyFont="1"/>
    <xf numFmtId="0" fontId="1" fillId="0" borderId="0" xfId="0" applyFont="1"/>
    <xf numFmtId="165" fontId="1" fillId="0" borderId="0" xfId="0" applyNumberFormat="1" applyFont="1"/>
    <xf numFmtId="9" fontId="1" fillId="0" borderId="0" xfId="0" applyNumberFormat="1" applyFont="1"/>
    <xf numFmtId="9"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nualAuditCases" displayName="ManualAuditCases" ref="A1:N31" totalsRowShown="0">
  <tableColumns count="14">
    <tableColumn id="1" xr3:uid="{00000000-0010-0000-0000-000001000000}" name="ID"/>
    <tableColumn id="2" xr3:uid="{00000000-0010-0000-0000-000002000000}" name="Original validator category"/>
    <tableColumn id="3" xr3:uid="{00000000-0010-0000-0000-000003000000}" name="Drug"/>
    <tableColumn id="4" xr3:uid="{00000000-0010-0000-0000-000004000000}" name="Extracted disease / target"/>
    <tableColumn id="5" xr3:uid="{00000000-0010-0000-0000-000005000000}" name="Manual review status"/>
    <tableColumn id="6" xr3:uid="{00000000-0010-0000-0000-000006000000}" name="Gemma extraction error"/>
    <tableColumn id="7" xr3:uid="{00000000-0010-0000-0000-000007000000}" name="Validator false negative"/>
    <tableColumn id="8" xr3:uid="{00000000-0010-0000-0000-000008000000}" name="Manual disposition"/>
    <tableColumn id="9" xr3:uid="{00000000-0010-0000-0000-000009000000}" name="Evidence rationale"/>
    <tableColumn id="10" xr3:uid="{00000000-0010-0000-0000-00000A000000}" name="Sources discussed / reviewed"/>
    <tableColumn id="11" xr3:uid="{00000000-0010-0000-0000-00000B000000}" name="External evidence conclusion"/>
    <tableColumn id="12" xr3:uid="{00000000-0010-0000-0000-00000C000000}" name="Failure / review mechanism"/>
    <tableColumn id="13" xr3:uid="{00000000-0010-0000-0000-00000D000000}" name="Exact URL"/>
    <tableColumn id="14" xr3:uid="{00000000-0010-0000-0000-00000E000000}" name="Audit compilation date"/>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ugcentral.org/drugcard/1283?q=Gemcitabine" TargetMode="External"/><Relationship Id="rId13" Type="http://schemas.openxmlformats.org/officeDocument/2006/relationships/hyperlink" Target="https://dailymed.nlm.nih.gov/dailymed/drugInfo.cfm?setid=e0ecb809-6a55-4afe-b981-b8f174e5c344" TargetMode="External"/><Relationship Id="rId18" Type="http://schemas.openxmlformats.org/officeDocument/2006/relationships/hyperlink" Target="https://dailymed.nlm.nih.gov/dailymed/drugInfo.cfm?setid=e094cb1d-80fe-4277-b8f4-9817918f8c76" TargetMode="External"/><Relationship Id="rId3" Type="http://schemas.openxmlformats.org/officeDocument/2006/relationships/hyperlink" Target="https://dailymed.nlm.nih.gov/dailymed/drugInfo.cfm?setid=302e6df7-37c5-4625-8a61-3e2f302addf2" TargetMode="External"/><Relationship Id="rId21" Type="http://schemas.openxmlformats.org/officeDocument/2006/relationships/hyperlink" Target="https://dailymed.nlm.nih.gov/dailymed/drugInfo.cfm?setid=bb5a5043-0f51-11df-8a39-0800200c9a66" TargetMode="External"/><Relationship Id="rId7" Type="http://schemas.openxmlformats.org/officeDocument/2006/relationships/hyperlink" Target="https://dailymed.nlm.nih.gov/dailymed/drugInfo.cfm?setid=e5721cb8-4185-47b9-bbb3-1c587e558a03" TargetMode="External"/><Relationship Id="rId12" Type="http://schemas.openxmlformats.org/officeDocument/2006/relationships/hyperlink" Target="https://dailymed.nlm.nih.gov/dailymed/drugInfo.cfm?setid=645c887c-8cd4-4623-8da9-ac223d71a8b9" TargetMode="External"/><Relationship Id="rId17" Type="http://schemas.openxmlformats.org/officeDocument/2006/relationships/hyperlink" Target="https://drugcentral.org/drugcard/2722?q=Tretinoin" TargetMode="External"/><Relationship Id="rId2" Type="http://schemas.openxmlformats.org/officeDocument/2006/relationships/hyperlink" Target="https://dailymed.nlm.nih.gov/dailymed/drugInfo.cfm?setid=8092c64b-e240-43c3-9d2e-e0dd7708d96f" TargetMode="External"/><Relationship Id="rId16" Type="http://schemas.openxmlformats.org/officeDocument/2006/relationships/hyperlink" Target="https://dailymed.nlm.nih.gov/dailymed/drugInfo.cfm?setid=ffebf88b-d257-4542-9808-74d9b7167765" TargetMode="External"/><Relationship Id="rId20" Type="http://schemas.openxmlformats.org/officeDocument/2006/relationships/hyperlink" Target="https://dailymed.nlm.nih.gov/dailymed/drugInfo.cfm?setid=3ae14c6b-3daf-4dd1-bbdb-e990fe8100e4" TargetMode="External"/><Relationship Id="rId1" Type="http://schemas.openxmlformats.org/officeDocument/2006/relationships/hyperlink" Target="https://dailymed.nlm.nih.gov/dailymed/drugInfo.cfm?setid=0b56f6df-a05d-4520-8bf0-d7cefe20f6ad" TargetMode="External"/><Relationship Id="rId6" Type="http://schemas.openxmlformats.org/officeDocument/2006/relationships/hyperlink" Target="https://dailymed.nlm.nih.gov/dailymed/drugInfo.cfm?setid=c0efa9f9-ca7a-471a-8030-99056fa5da09" TargetMode="External"/><Relationship Id="rId11" Type="http://schemas.openxmlformats.org/officeDocument/2006/relationships/hyperlink" Target="https://dailymed.nlm.nih.gov/dailymed/fda/fdaDrugXsl.cfm?setid=a0829286-e9fc-442c-82d1-8268e1110109" TargetMode="External"/><Relationship Id="rId5" Type="http://schemas.openxmlformats.org/officeDocument/2006/relationships/hyperlink" Target="https://dailymed.nlm.nih.gov/dailymed/drugInfo.cfm?setid=8afc8951-db76-4f27-8752-7c0d6aa47244" TargetMode="External"/><Relationship Id="rId15" Type="http://schemas.openxmlformats.org/officeDocument/2006/relationships/hyperlink" Target="https://dailymed.nlm.nih.gov/dailymed/drugInfo.cfm?setid=e95023fe-8e00-472e-ab38-b5a5172d614d" TargetMode="External"/><Relationship Id="rId23" Type="http://schemas.openxmlformats.org/officeDocument/2006/relationships/table" Target="../tables/table1.xml"/><Relationship Id="rId10" Type="http://schemas.openxmlformats.org/officeDocument/2006/relationships/hyperlink" Target="https://drugcentral.org/drugcard/358?q=Bethanechol" TargetMode="External"/><Relationship Id="rId19" Type="http://schemas.openxmlformats.org/officeDocument/2006/relationships/hyperlink" Target="https://dailymed.nlm.nih.gov/dailymed/drugInfo.cfm?setid=1e9a37e2-f28a-4373-bf0f-3e9b60f42d8a" TargetMode="External"/><Relationship Id="rId4" Type="http://schemas.openxmlformats.org/officeDocument/2006/relationships/hyperlink" Target="https://drugcentral.org/drugcard/1209?q=Fluoxetine" TargetMode="External"/><Relationship Id="rId9" Type="http://schemas.openxmlformats.org/officeDocument/2006/relationships/hyperlink" Target="https://dailymed.nlm.nih.gov/dailymed/drugInfo.cfm?setid=8b67ca60-d7e4-4c04-bbc6-dae86a7c7675" TargetMode="External"/><Relationship Id="rId14" Type="http://schemas.openxmlformats.org/officeDocument/2006/relationships/hyperlink" Target="https://pubchem.ncbi.nlm.nih.gov/compound/2-Deoxyglucose" TargetMode="External"/><Relationship Id="rId22" Type="http://schemas.openxmlformats.org/officeDocument/2006/relationships/hyperlink" Target="https://dailymed.nlm.nih.gov/dailymed/drugInfo.cfm?setid=65647318-27e4-4f37-bd68-50eea52d6c5b"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ailymed.nlm.nih.gov/dailymed/drugInfo.cfm?setid=6b2f9446-fb23-4741-b73a-5a2f993733c3" TargetMode="External"/><Relationship Id="rId13" Type="http://schemas.openxmlformats.org/officeDocument/2006/relationships/hyperlink" Target="https://dailymed.nlm.nih.gov/dailymed/drugInfo.cfm?setid=738753c7-507d-4881-5194-02dd7597768b" TargetMode="External"/><Relationship Id="rId18" Type="http://schemas.openxmlformats.org/officeDocument/2006/relationships/hyperlink" Target="https://dailymed.nlm.nih.gov/dailymed/drugInfo.cfm?setid=a5c49e6e-b8e0-4a75-99e6-b88e323ce653" TargetMode="External"/><Relationship Id="rId3" Type="http://schemas.openxmlformats.org/officeDocument/2006/relationships/hyperlink" Target="https://dailymed.nlm.nih.gov/dailymed/drugInfo.cfm?setid=102f96a0-6e3a-4fc1-b204-34d604683af6" TargetMode="External"/><Relationship Id="rId7" Type="http://schemas.openxmlformats.org/officeDocument/2006/relationships/hyperlink" Target="https://drugcentral.org/drugcard/1344?q=Guanidine" TargetMode="External"/><Relationship Id="rId12" Type="http://schemas.openxmlformats.org/officeDocument/2006/relationships/hyperlink" Target="https://dailymed.nlm.nih.gov/dailymed/drugInfo.cfm?setid=ebbc1751-9381-4db1-89ff-ae5a2963fb2c" TargetMode="External"/><Relationship Id="rId17" Type="http://schemas.openxmlformats.org/officeDocument/2006/relationships/hyperlink" Target="https://dailymed.nlm.nih.gov/dailymed/drugInfo.cfm?setid=92ca69d4-cdba-4789-91a9-922664d52498" TargetMode="External"/><Relationship Id="rId2" Type="http://schemas.openxmlformats.org/officeDocument/2006/relationships/hyperlink" Target="https://dailymed.nlm.nih.gov/dailymed/drugInfo.cfm?setid=e6a4cb10-1928-4abe-8797-404c9ddc37dd&amp;utm_source=chatgpt.com" TargetMode="External"/><Relationship Id="rId16" Type="http://schemas.openxmlformats.org/officeDocument/2006/relationships/hyperlink" Target="https://dailymed.nlm.nih.gov/dailymed/drugInfo.cfm?setid=ddd9a47e-7d7c-4d0c-aaa6-32702570f696" TargetMode="External"/><Relationship Id="rId20" Type="http://schemas.openxmlformats.org/officeDocument/2006/relationships/hyperlink" Target="https://dailymed.nlm.nih.gov/dailymed/drugInfo.cfm?setid=c669f77c-fa48-478b-a14b-80b20a0139c2" TargetMode="External"/><Relationship Id="rId1" Type="http://schemas.openxmlformats.org/officeDocument/2006/relationships/hyperlink" Target="https://dailymed.nlm.nih.gov/dailymed/drugInfo.cfm?setid=2fa3c528-1777-4628-8a55-a69dae2381a3" TargetMode="External"/><Relationship Id="rId6" Type="http://schemas.openxmlformats.org/officeDocument/2006/relationships/hyperlink" Target="https://drugcentral.org/drugcard/5267?q=Semaglutide" TargetMode="External"/><Relationship Id="rId11" Type="http://schemas.openxmlformats.org/officeDocument/2006/relationships/hyperlink" Target="https://dailymed.nlm.nih.gov/dailymed/drugInfo.cfm?setid=c797ea5c-cab7-494b-9044-27eba0cfe40f" TargetMode="External"/><Relationship Id="rId5" Type="http://schemas.openxmlformats.org/officeDocument/2006/relationships/hyperlink" Target="https://drugcentral.org/drugcard/1817?q=Misoprostol" TargetMode="External"/><Relationship Id="rId15" Type="http://schemas.openxmlformats.org/officeDocument/2006/relationships/hyperlink" Target="https://dailymed.nlm.nih.gov/dailymed/drugInfo.cfm?setid=cd8d188a-fa5d-4580-bcb1-ac8617118cbb" TargetMode="External"/><Relationship Id="rId10" Type="http://schemas.openxmlformats.org/officeDocument/2006/relationships/hyperlink" Target="https://drugcentral.org/drugcard/838?q=Dexpanthenol" TargetMode="External"/><Relationship Id="rId19" Type="http://schemas.openxmlformats.org/officeDocument/2006/relationships/hyperlink" Target="https://dailymed.nlm.nih.gov/dailymed/drugInfo.cfm?setid=d7a11334-6e7a-445b-9a16-bdcd9acbe61f" TargetMode="External"/><Relationship Id="rId4" Type="http://schemas.openxmlformats.org/officeDocument/2006/relationships/hyperlink" Target="https://dailymed.nlm.nih.gov/dailymed/drugInfo.cfm?setid=a9897444-71f6-42af-9b71-4aa77829ade0" TargetMode="External"/><Relationship Id="rId9" Type="http://schemas.openxmlformats.org/officeDocument/2006/relationships/hyperlink" Target="https://api.fda.gov/drug/label.json?search=openfda.generic_name:doxycycline&amp;limit=10" TargetMode="External"/><Relationship Id="rId14" Type="http://schemas.openxmlformats.org/officeDocument/2006/relationships/hyperlink" Target="https://dailymed.nlm.nih.gov/dailymed/drugInfo.cfm?setid=5b44ab6e-6cd9-4e12-b9be-d2e4d954acb5%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opLeftCell="E1" zoomScaleNormal="100" workbookViewId="0">
      <pane ySplit="1" topLeftCell="A2" activePane="bottomLeft" state="frozen"/>
      <selection pane="bottomLeft" activeCell="B11" sqref="B11"/>
    </sheetView>
  </sheetViews>
  <sheetFormatPr defaultColWidth="8.6328125" defaultRowHeight="14.5" x14ac:dyDescent="0.35"/>
  <cols>
    <col min="1" max="1" width="7" style="1" customWidth="1"/>
    <col min="2" max="2" width="29" style="1" customWidth="1"/>
    <col min="3" max="3" width="23" style="1" customWidth="1"/>
    <col min="4" max="4" width="31" style="1" customWidth="1"/>
    <col min="5" max="5" width="35" style="1" customWidth="1"/>
    <col min="6" max="6" width="21.453125" style="1" customWidth="1"/>
    <col min="7" max="7" width="21.26953125" style="1" customWidth="1"/>
    <col min="8" max="8" width="30" style="1" customWidth="1"/>
    <col min="9" max="9" width="75" style="1" customWidth="1"/>
    <col min="10" max="10" width="37" style="1" customWidth="1"/>
    <col min="11" max="11" width="39" style="1" customWidth="1"/>
    <col min="12" max="12" width="30" style="1" customWidth="1"/>
    <col min="13" max="13" width="37" style="1" customWidth="1"/>
    <col min="14" max="14" width="42" style="2" customWidth="1"/>
    <col min="15" max="15" width="34" style="1" customWidth="1"/>
    <col min="16" max="16384" width="8.6328125" style="1"/>
  </cols>
  <sheetData>
    <row r="1" spans="1:14" ht="30"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ht="57" customHeight="1" x14ac:dyDescent="0.35">
      <c r="A2" s="2">
        <v>1</v>
      </c>
      <c r="B2" s="2" t="s">
        <v>14</v>
      </c>
      <c r="C2" s="2" t="s">
        <v>15</v>
      </c>
      <c r="D2" s="2" t="s">
        <v>16</v>
      </c>
      <c r="E2" s="2" t="s">
        <v>17</v>
      </c>
      <c r="F2" s="2" t="s">
        <v>18</v>
      </c>
      <c r="G2" s="2" t="s">
        <v>19</v>
      </c>
      <c r="H2" s="2" t="s">
        <v>20</v>
      </c>
      <c r="I2" s="2" t="s">
        <v>21</v>
      </c>
      <c r="J2" s="2" t="s">
        <v>22</v>
      </c>
      <c r="K2" s="2" t="s">
        <v>23</v>
      </c>
      <c r="L2" s="2" t="s">
        <v>24</v>
      </c>
      <c r="M2" s="4" t="s">
        <v>25</v>
      </c>
      <c r="N2" s="2" t="s">
        <v>26</v>
      </c>
    </row>
    <row r="3" spans="1:14" ht="57" customHeight="1" x14ac:dyDescent="0.35">
      <c r="A3" s="2">
        <v>2</v>
      </c>
      <c r="B3" s="2" t="s">
        <v>14</v>
      </c>
      <c r="C3" s="2" t="s">
        <v>27</v>
      </c>
      <c r="D3" s="2" t="s">
        <v>28</v>
      </c>
      <c r="E3" s="2" t="s">
        <v>29</v>
      </c>
      <c r="F3" s="2" t="s">
        <v>18</v>
      </c>
      <c r="G3" s="2" t="s">
        <v>19</v>
      </c>
      <c r="H3" s="2" t="s">
        <v>30</v>
      </c>
      <c r="I3" s="2" t="s">
        <v>31</v>
      </c>
      <c r="J3" s="2" t="s">
        <v>22</v>
      </c>
      <c r="K3" s="2" t="s">
        <v>32</v>
      </c>
      <c r="L3" s="2" t="s">
        <v>33</v>
      </c>
      <c r="M3" s="4" t="s">
        <v>34</v>
      </c>
      <c r="N3" s="2" t="s">
        <v>26</v>
      </c>
    </row>
    <row r="4" spans="1:14" ht="57" customHeight="1" x14ac:dyDescent="0.35">
      <c r="A4" s="2">
        <v>3</v>
      </c>
      <c r="B4" s="2" t="s">
        <v>14</v>
      </c>
      <c r="C4" s="2" t="s">
        <v>35</v>
      </c>
      <c r="D4" s="2" t="s">
        <v>36</v>
      </c>
      <c r="E4" s="2" t="s">
        <v>37</v>
      </c>
      <c r="F4" s="2" t="s">
        <v>38</v>
      </c>
      <c r="G4" s="2" t="s">
        <v>38</v>
      </c>
      <c r="H4" s="2" t="s">
        <v>39</v>
      </c>
      <c r="I4" s="2" t="s">
        <v>40</v>
      </c>
      <c r="J4" s="2" t="s">
        <v>41</v>
      </c>
      <c r="K4" s="2" t="s">
        <v>42</v>
      </c>
      <c r="L4" s="2" t="s">
        <v>43</v>
      </c>
      <c r="M4" s="2" t="s">
        <v>44</v>
      </c>
      <c r="N4" s="2" t="s">
        <v>26</v>
      </c>
    </row>
    <row r="5" spans="1:14" ht="57" customHeight="1" x14ac:dyDescent="0.35">
      <c r="A5" s="2">
        <v>4</v>
      </c>
      <c r="B5" s="2" t="s">
        <v>14</v>
      </c>
      <c r="C5" s="2" t="s">
        <v>45</v>
      </c>
      <c r="D5" s="2" t="s">
        <v>46</v>
      </c>
      <c r="E5" s="2" t="s">
        <v>47</v>
      </c>
      <c r="F5" s="2" t="s">
        <v>18</v>
      </c>
      <c r="G5" s="2" t="s">
        <v>19</v>
      </c>
      <c r="H5" s="2" t="s">
        <v>20</v>
      </c>
      <c r="I5" s="2" t="s">
        <v>48</v>
      </c>
      <c r="J5" s="2" t="s">
        <v>22</v>
      </c>
      <c r="K5" s="2" t="s">
        <v>23</v>
      </c>
      <c r="L5" s="2" t="s">
        <v>49</v>
      </c>
      <c r="M5" s="4" t="s">
        <v>50</v>
      </c>
      <c r="N5" s="2" t="s">
        <v>26</v>
      </c>
    </row>
    <row r="6" spans="1:14" ht="57" customHeight="1" x14ac:dyDescent="0.35">
      <c r="A6" s="2">
        <v>5</v>
      </c>
      <c r="B6" s="2" t="s">
        <v>14</v>
      </c>
      <c r="C6" s="2" t="s">
        <v>51</v>
      </c>
      <c r="D6" s="2" t="s">
        <v>52</v>
      </c>
      <c r="E6" s="2" t="s">
        <v>53</v>
      </c>
      <c r="F6" s="2" t="s">
        <v>54</v>
      </c>
      <c r="G6" s="2" t="s">
        <v>18</v>
      </c>
      <c r="H6" s="2" t="s">
        <v>39</v>
      </c>
      <c r="I6" s="2" t="s">
        <v>55</v>
      </c>
      <c r="J6" s="2" t="s">
        <v>56</v>
      </c>
      <c r="K6" s="2" t="s">
        <v>57</v>
      </c>
      <c r="L6" s="2" t="s">
        <v>58</v>
      </c>
      <c r="M6" s="4" t="s">
        <v>59</v>
      </c>
      <c r="N6" s="2" t="s">
        <v>26</v>
      </c>
    </row>
    <row r="7" spans="1:14" ht="57" customHeight="1" x14ac:dyDescent="0.35">
      <c r="A7" s="2">
        <v>6</v>
      </c>
      <c r="B7" s="2" t="s">
        <v>60</v>
      </c>
      <c r="C7" s="2" t="s">
        <v>61</v>
      </c>
      <c r="D7" s="2" t="s">
        <v>62</v>
      </c>
      <c r="E7" s="2" t="s">
        <v>63</v>
      </c>
      <c r="F7" s="2" t="s">
        <v>19</v>
      </c>
      <c r="G7" s="2" t="s">
        <v>18</v>
      </c>
      <c r="H7" s="2" t="s">
        <v>64</v>
      </c>
      <c r="I7" s="2" t="s">
        <v>65</v>
      </c>
      <c r="J7" s="2" t="s">
        <v>22</v>
      </c>
      <c r="K7" s="2" t="s">
        <v>66</v>
      </c>
      <c r="L7" s="2" t="s">
        <v>67</v>
      </c>
      <c r="M7" s="2" t="s">
        <v>44</v>
      </c>
      <c r="N7" s="2" t="s">
        <v>26</v>
      </c>
    </row>
    <row r="8" spans="1:14" ht="57" customHeight="1" x14ac:dyDescent="0.35">
      <c r="A8" s="2">
        <v>7</v>
      </c>
      <c r="B8" s="2" t="s">
        <v>60</v>
      </c>
      <c r="C8" s="2" t="s">
        <v>68</v>
      </c>
      <c r="D8" s="2" t="s">
        <v>69</v>
      </c>
      <c r="E8" s="2" t="s">
        <v>70</v>
      </c>
      <c r="F8" s="2" t="s">
        <v>18</v>
      </c>
      <c r="G8" s="2" t="s">
        <v>18</v>
      </c>
      <c r="H8" s="2" t="s">
        <v>39</v>
      </c>
      <c r="I8" s="2" t="s">
        <v>71</v>
      </c>
      <c r="J8" s="2" t="s">
        <v>72</v>
      </c>
      <c r="K8" s="2" t="s">
        <v>73</v>
      </c>
      <c r="L8" s="2" t="s">
        <v>74</v>
      </c>
      <c r="M8" s="4" t="s">
        <v>75</v>
      </c>
      <c r="N8" s="2" t="s">
        <v>26</v>
      </c>
    </row>
    <row r="9" spans="1:14" ht="57" customHeight="1" x14ac:dyDescent="0.35">
      <c r="A9" s="2">
        <v>8</v>
      </c>
      <c r="B9" s="2" t="s">
        <v>60</v>
      </c>
      <c r="C9" s="2" t="s">
        <v>76</v>
      </c>
      <c r="D9" s="2" t="s">
        <v>77</v>
      </c>
      <c r="E9" s="2" t="s">
        <v>47</v>
      </c>
      <c r="F9" s="2" t="s">
        <v>18</v>
      </c>
      <c r="G9" s="2" t="s">
        <v>19</v>
      </c>
      <c r="H9" s="2" t="s">
        <v>20</v>
      </c>
      <c r="I9" s="2" t="s">
        <v>78</v>
      </c>
      <c r="J9" s="2" t="s">
        <v>79</v>
      </c>
      <c r="K9" s="2" t="s">
        <v>80</v>
      </c>
      <c r="L9" s="2" t="s">
        <v>81</v>
      </c>
      <c r="M9" s="4" t="s">
        <v>82</v>
      </c>
      <c r="N9" s="2" t="s">
        <v>26</v>
      </c>
    </row>
    <row r="10" spans="1:14" ht="57" customHeight="1" x14ac:dyDescent="0.35">
      <c r="A10" s="2">
        <v>9</v>
      </c>
      <c r="B10" s="2" t="s">
        <v>60</v>
      </c>
      <c r="C10" s="2" t="s">
        <v>83</v>
      </c>
      <c r="D10" s="2" t="s">
        <v>84</v>
      </c>
      <c r="E10" s="2" t="s">
        <v>85</v>
      </c>
      <c r="F10" s="2" t="s">
        <v>19</v>
      </c>
      <c r="G10" s="2" t="s">
        <v>18</v>
      </c>
      <c r="H10" s="2" t="s">
        <v>64</v>
      </c>
      <c r="I10" s="2" t="s">
        <v>86</v>
      </c>
      <c r="J10" s="2" t="s">
        <v>22</v>
      </c>
      <c r="K10" s="2" t="s">
        <v>87</v>
      </c>
      <c r="L10" s="2" t="s">
        <v>88</v>
      </c>
      <c r="M10" s="4" t="s">
        <v>89</v>
      </c>
      <c r="N10" s="2" t="s">
        <v>26</v>
      </c>
    </row>
    <row r="11" spans="1:14" ht="57" customHeight="1" x14ac:dyDescent="0.35">
      <c r="A11" s="2">
        <v>10</v>
      </c>
      <c r="B11" s="2" t="s">
        <v>60</v>
      </c>
      <c r="C11" s="2" t="s">
        <v>90</v>
      </c>
      <c r="D11" s="2" t="s">
        <v>91</v>
      </c>
      <c r="E11" s="2" t="s">
        <v>70</v>
      </c>
      <c r="F11" s="2" t="s">
        <v>18</v>
      </c>
      <c r="G11" s="2" t="s">
        <v>18</v>
      </c>
      <c r="H11" s="2" t="s">
        <v>39</v>
      </c>
      <c r="I11" s="2" t="s">
        <v>92</v>
      </c>
      <c r="J11" s="2" t="s">
        <v>93</v>
      </c>
      <c r="K11" s="2" t="s">
        <v>94</v>
      </c>
      <c r="L11" s="2" t="s">
        <v>74</v>
      </c>
      <c r="M11" s="4" t="s">
        <v>95</v>
      </c>
      <c r="N11" s="2" t="s">
        <v>26</v>
      </c>
    </row>
    <row r="12" spans="1:14" ht="57" customHeight="1" x14ac:dyDescent="0.35">
      <c r="A12" s="2">
        <v>11</v>
      </c>
      <c r="B12" s="2" t="s">
        <v>60</v>
      </c>
      <c r="C12" s="2" t="s">
        <v>96</v>
      </c>
      <c r="D12" s="2" t="s">
        <v>97</v>
      </c>
      <c r="E12" s="2" t="s">
        <v>47</v>
      </c>
      <c r="F12" s="2" t="s">
        <v>18</v>
      </c>
      <c r="G12" s="2" t="s">
        <v>19</v>
      </c>
      <c r="H12" s="2" t="s">
        <v>20</v>
      </c>
      <c r="I12" s="2" t="s">
        <v>98</v>
      </c>
      <c r="J12" s="2" t="s">
        <v>99</v>
      </c>
      <c r="K12" s="2" t="s">
        <v>100</v>
      </c>
      <c r="L12" s="2" t="s">
        <v>101</v>
      </c>
      <c r="M12" s="4" t="s">
        <v>102</v>
      </c>
      <c r="N12" s="2" t="s">
        <v>26</v>
      </c>
    </row>
    <row r="13" spans="1:14" ht="57" customHeight="1" x14ac:dyDescent="0.35">
      <c r="A13" s="2">
        <v>12</v>
      </c>
      <c r="B13" s="2" t="s">
        <v>60</v>
      </c>
      <c r="C13" s="2" t="s">
        <v>103</v>
      </c>
      <c r="D13" s="2" t="s">
        <v>104</v>
      </c>
      <c r="E13" s="2" t="s">
        <v>105</v>
      </c>
      <c r="F13" s="2" t="s">
        <v>19</v>
      </c>
      <c r="G13" s="2" t="s">
        <v>18</v>
      </c>
      <c r="H13" s="2" t="s">
        <v>106</v>
      </c>
      <c r="I13" s="2" t="s">
        <v>107</v>
      </c>
      <c r="J13" s="2" t="s">
        <v>99</v>
      </c>
      <c r="K13" s="2" t="s">
        <v>108</v>
      </c>
      <c r="L13" s="2" t="s">
        <v>109</v>
      </c>
      <c r="M13" s="2" t="s">
        <v>44</v>
      </c>
      <c r="N13" s="2" t="s">
        <v>26</v>
      </c>
    </row>
    <row r="14" spans="1:14" ht="57" customHeight="1" x14ac:dyDescent="0.35">
      <c r="A14" s="2">
        <v>13</v>
      </c>
      <c r="B14" s="2" t="s">
        <v>60</v>
      </c>
      <c r="C14" s="2" t="s">
        <v>110</v>
      </c>
      <c r="D14" s="2" t="s">
        <v>111</v>
      </c>
      <c r="E14" s="2" t="s">
        <v>112</v>
      </c>
      <c r="F14" s="2" t="s">
        <v>19</v>
      </c>
      <c r="G14" s="2" t="s">
        <v>18</v>
      </c>
      <c r="H14" s="2" t="s">
        <v>64</v>
      </c>
      <c r="I14" s="2" t="s">
        <v>113</v>
      </c>
      <c r="J14" s="2" t="s">
        <v>114</v>
      </c>
      <c r="K14" s="2" t="s">
        <v>115</v>
      </c>
      <c r="L14" s="2" t="s">
        <v>116</v>
      </c>
      <c r="M14" s="2" t="s">
        <v>44</v>
      </c>
      <c r="N14" s="2" t="s">
        <v>26</v>
      </c>
    </row>
    <row r="15" spans="1:14" ht="57" customHeight="1" x14ac:dyDescent="0.35">
      <c r="A15" s="2">
        <v>14</v>
      </c>
      <c r="B15" s="2" t="s">
        <v>60</v>
      </c>
      <c r="C15" s="2" t="s">
        <v>117</v>
      </c>
      <c r="D15" s="2" t="s">
        <v>118</v>
      </c>
      <c r="E15" s="2" t="s">
        <v>119</v>
      </c>
      <c r="F15" s="2" t="s">
        <v>18</v>
      </c>
      <c r="G15" s="2" t="s">
        <v>18</v>
      </c>
      <c r="H15" s="2" t="s">
        <v>39</v>
      </c>
      <c r="I15" s="2" t="s">
        <v>120</v>
      </c>
      <c r="J15" s="2" t="s">
        <v>121</v>
      </c>
      <c r="K15" s="2" t="s">
        <v>122</v>
      </c>
      <c r="L15" s="2" t="s">
        <v>123</v>
      </c>
      <c r="M15" s="2" t="s">
        <v>44</v>
      </c>
      <c r="N15" s="2" t="s">
        <v>26</v>
      </c>
    </row>
    <row r="16" spans="1:14" ht="57" customHeight="1" x14ac:dyDescent="0.35">
      <c r="A16" s="2">
        <v>15</v>
      </c>
      <c r="B16" s="2" t="s">
        <v>60</v>
      </c>
      <c r="C16" s="2" t="s">
        <v>124</v>
      </c>
      <c r="D16" s="2" t="s">
        <v>125</v>
      </c>
      <c r="E16" s="2" t="s">
        <v>126</v>
      </c>
      <c r="F16" s="2" t="s">
        <v>18</v>
      </c>
      <c r="G16" s="2" t="s">
        <v>19</v>
      </c>
      <c r="H16" s="2" t="s">
        <v>39</v>
      </c>
      <c r="I16" s="2" t="s">
        <v>127</v>
      </c>
      <c r="J16" s="2" t="s">
        <v>128</v>
      </c>
      <c r="K16" s="2" t="s">
        <v>122</v>
      </c>
      <c r="L16" s="2" t="s">
        <v>129</v>
      </c>
      <c r="M16" s="4" t="s">
        <v>130</v>
      </c>
      <c r="N16" s="2" t="s">
        <v>26</v>
      </c>
    </row>
    <row r="17" spans="1:14" ht="57" customHeight="1" x14ac:dyDescent="0.35">
      <c r="A17" s="2">
        <v>16</v>
      </c>
      <c r="B17" s="2" t="s">
        <v>60</v>
      </c>
      <c r="C17" s="2" t="s">
        <v>131</v>
      </c>
      <c r="D17" s="2" t="s">
        <v>132</v>
      </c>
      <c r="E17" s="2" t="s">
        <v>133</v>
      </c>
      <c r="F17" s="2" t="s">
        <v>19</v>
      </c>
      <c r="G17" s="2" t="s">
        <v>18</v>
      </c>
      <c r="H17" s="2" t="s">
        <v>64</v>
      </c>
      <c r="I17" s="2" t="s">
        <v>134</v>
      </c>
      <c r="J17" s="2" t="s">
        <v>22</v>
      </c>
      <c r="K17" s="2" t="s">
        <v>135</v>
      </c>
      <c r="L17" s="2" t="s">
        <v>136</v>
      </c>
      <c r="M17" s="4" t="s">
        <v>137</v>
      </c>
      <c r="N17" s="2" t="s">
        <v>26</v>
      </c>
    </row>
    <row r="18" spans="1:14" ht="57" customHeight="1" x14ac:dyDescent="0.35">
      <c r="A18" s="2">
        <v>17</v>
      </c>
      <c r="B18" s="2" t="s">
        <v>60</v>
      </c>
      <c r="C18" s="2" t="s">
        <v>138</v>
      </c>
      <c r="D18" s="2" t="s">
        <v>139</v>
      </c>
      <c r="E18" s="2" t="s">
        <v>140</v>
      </c>
      <c r="F18" s="2" t="s">
        <v>18</v>
      </c>
      <c r="G18" s="2" t="s">
        <v>19</v>
      </c>
      <c r="H18" s="2" t="s">
        <v>20</v>
      </c>
      <c r="I18" s="2" t="s">
        <v>141</v>
      </c>
      <c r="J18" s="2" t="s">
        <v>142</v>
      </c>
      <c r="K18" s="2" t="s">
        <v>143</v>
      </c>
      <c r="L18" s="2" t="s">
        <v>144</v>
      </c>
      <c r="M18" s="4" t="s">
        <v>145</v>
      </c>
      <c r="N18" s="2" t="s">
        <v>26</v>
      </c>
    </row>
    <row r="19" spans="1:14" ht="57" customHeight="1" x14ac:dyDescent="0.35">
      <c r="A19" s="2">
        <v>18</v>
      </c>
      <c r="B19" s="2" t="s">
        <v>60</v>
      </c>
      <c r="C19" s="2" t="s">
        <v>146</v>
      </c>
      <c r="D19" s="2" t="s">
        <v>147</v>
      </c>
      <c r="E19" s="2" t="s">
        <v>148</v>
      </c>
      <c r="F19" s="2" t="s">
        <v>19</v>
      </c>
      <c r="G19" s="2" t="s">
        <v>18</v>
      </c>
      <c r="H19" s="2" t="s">
        <v>64</v>
      </c>
      <c r="I19" s="2" t="s">
        <v>149</v>
      </c>
      <c r="J19" s="2" t="s">
        <v>22</v>
      </c>
      <c r="K19" s="2" t="s">
        <v>87</v>
      </c>
      <c r="L19" s="2" t="s">
        <v>150</v>
      </c>
      <c r="M19" s="4" t="s">
        <v>151</v>
      </c>
      <c r="N19" s="2" t="s">
        <v>26</v>
      </c>
    </row>
    <row r="20" spans="1:14" ht="57" customHeight="1" x14ac:dyDescent="0.35">
      <c r="A20" s="2">
        <v>19</v>
      </c>
      <c r="B20" s="2" t="s">
        <v>60</v>
      </c>
      <c r="C20" s="2" t="s">
        <v>152</v>
      </c>
      <c r="D20" s="2" t="s">
        <v>111</v>
      </c>
      <c r="E20" s="2" t="s">
        <v>112</v>
      </c>
      <c r="F20" s="2" t="s">
        <v>19</v>
      </c>
      <c r="G20" s="2" t="s">
        <v>18</v>
      </c>
      <c r="H20" s="2" t="s">
        <v>64</v>
      </c>
      <c r="I20" s="2" t="s">
        <v>153</v>
      </c>
      <c r="J20" s="2" t="s">
        <v>154</v>
      </c>
      <c r="K20" s="2" t="s">
        <v>155</v>
      </c>
      <c r="L20" s="2" t="s">
        <v>156</v>
      </c>
      <c r="M20" s="2" t="s">
        <v>44</v>
      </c>
      <c r="N20" s="2" t="s">
        <v>26</v>
      </c>
    </row>
    <row r="21" spans="1:14" ht="57" customHeight="1" x14ac:dyDescent="0.35">
      <c r="A21" s="2">
        <v>20</v>
      </c>
      <c r="B21" s="2" t="s">
        <v>60</v>
      </c>
      <c r="C21" s="2" t="s">
        <v>157</v>
      </c>
      <c r="D21" s="2" t="s">
        <v>158</v>
      </c>
      <c r="E21" s="2" t="s">
        <v>159</v>
      </c>
      <c r="F21" s="2" t="s">
        <v>19</v>
      </c>
      <c r="G21" s="2" t="s">
        <v>18</v>
      </c>
      <c r="H21" s="2" t="s">
        <v>64</v>
      </c>
      <c r="I21" s="2" t="s">
        <v>160</v>
      </c>
      <c r="J21" s="2" t="s">
        <v>161</v>
      </c>
      <c r="K21" s="2" t="s">
        <v>162</v>
      </c>
      <c r="L21" s="2" t="s">
        <v>163</v>
      </c>
      <c r="M21" s="2" t="s">
        <v>44</v>
      </c>
      <c r="N21" s="2" t="s">
        <v>26</v>
      </c>
    </row>
    <row r="22" spans="1:14" ht="57" customHeight="1" x14ac:dyDescent="0.35">
      <c r="A22" s="2">
        <v>21</v>
      </c>
      <c r="B22" s="2" t="s">
        <v>60</v>
      </c>
      <c r="C22" s="2" t="s">
        <v>164</v>
      </c>
      <c r="D22" s="2" t="s">
        <v>165</v>
      </c>
      <c r="E22" s="2" t="s">
        <v>166</v>
      </c>
      <c r="F22" s="2" t="s">
        <v>19</v>
      </c>
      <c r="G22" s="2" t="s">
        <v>18</v>
      </c>
      <c r="H22" s="2" t="s">
        <v>167</v>
      </c>
      <c r="I22" s="2" t="s">
        <v>168</v>
      </c>
      <c r="J22" s="2" t="s">
        <v>169</v>
      </c>
      <c r="K22" s="2" t="s">
        <v>170</v>
      </c>
      <c r="L22" s="2" t="s">
        <v>171</v>
      </c>
      <c r="M22" s="4" t="s">
        <v>172</v>
      </c>
      <c r="N22" s="2" t="s">
        <v>26</v>
      </c>
    </row>
    <row r="23" spans="1:14" ht="57" customHeight="1" x14ac:dyDescent="0.35">
      <c r="A23" s="2">
        <v>22</v>
      </c>
      <c r="B23" s="2" t="s">
        <v>60</v>
      </c>
      <c r="C23" s="2" t="s">
        <v>173</v>
      </c>
      <c r="D23" s="2" t="s">
        <v>174</v>
      </c>
      <c r="E23" s="2" t="s">
        <v>175</v>
      </c>
      <c r="F23" s="2" t="s">
        <v>19</v>
      </c>
      <c r="G23" s="2" t="s">
        <v>18</v>
      </c>
      <c r="H23" s="2" t="s">
        <v>39</v>
      </c>
      <c r="I23" s="2" t="s">
        <v>176</v>
      </c>
      <c r="J23" s="2" t="s">
        <v>177</v>
      </c>
      <c r="K23" s="2" t="s">
        <v>178</v>
      </c>
      <c r="L23" s="2" t="s">
        <v>179</v>
      </c>
      <c r="M23" s="2" t="s">
        <v>44</v>
      </c>
      <c r="N23" s="2" t="s">
        <v>26</v>
      </c>
    </row>
    <row r="24" spans="1:14" ht="57" customHeight="1" x14ac:dyDescent="0.35">
      <c r="A24" s="2">
        <v>23</v>
      </c>
      <c r="B24" s="2" t="s">
        <v>60</v>
      </c>
      <c r="C24" s="2" t="s">
        <v>180</v>
      </c>
      <c r="D24" s="2" t="s">
        <v>181</v>
      </c>
      <c r="E24" s="2" t="s">
        <v>182</v>
      </c>
      <c r="F24" s="2" t="s">
        <v>18</v>
      </c>
      <c r="G24" s="2" t="s">
        <v>18</v>
      </c>
      <c r="H24" s="2" t="s">
        <v>39</v>
      </c>
      <c r="I24" s="2" t="s">
        <v>183</v>
      </c>
      <c r="J24" s="2" t="s">
        <v>22</v>
      </c>
      <c r="K24" s="2" t="s">
        <v>184</v>
      </c>
      <c r="L24" s="2" t="s">
        <v>185</v>
      </c>
      <c r="M24" s="4" t="s">
        <v>186</v>
      </c>
      <c r="N24" s="2" t="s">
        <v>26</v>
      </c>
    </row>
    <row r="25" spans="1:14" ht="57" customHeight="1" x14ac:dyDescent="0.35">
      <c r="A25" s="2">
        <v>24</v>
      </c>
      <c r="B25" s="2" t="s">
        <v>60</v>
      </c>
      <c r="C25" s="2" t="s">
        <v>180</v>
      </c>
      <c r="D25" s="2" t="s">
        <v>187</v>
      </c>
      <c r="E25" s="2" t="s">
        <v>188</v>
      </c>
      <c r="F25" s="2" t="s">
        <v>19</v>
      </c>
      <c r="G25" s="2" t="s">
        <v>18</v>
      </c>
      <c r="H25" s="2" t="s">
        <v>189</v>
      </c>
      <c r="I25" s="2" t="s">
        <v>190</v>
      </c>
      <c r="J25" s="2" t="s">
        <v>191</v>
      </c>
      <c r="K25" s="2" t="s">
        <v>192</v>
      </c>
      <c r="L25" s="2" t="s">
        <v>193</v>
      </c>
      <c r="M25" s="4" t="s">
        <v>194</v>
      </c>
      <c r="N25" s="2" t="s">
        <v>26</v>
      </c>
    </row>
    <row r="26" spans="1:14" ht="57" customHeight="1" x14ac:dyDescent="0.35">
      <c r="A26" s="2">
        <v>25</v>
      </c>
      <c r="B26" s="2" t="s">
        <v>60</v>
      </c>
      <c r="C26" s="2" t="s">
        <v>195</v>
      </c>
      <c r="D26" s="2" t="s">
        <v>196</v>
      </c>
      <c r="E26" s="2" t="s">
        <v>197</v>
      </c>
      <c r="F26" s="2" t="s">
        <v>19</v>
      </c>
      <c r="G26" s="2" t="s">
        <v>18</v>
      </c>
      <c r="H26" s="2" t="s">
        <v>64</v>
      </c>
      <c r="I26" s="2" t="s">
        <v>198</v>
      </c>
      <c r="J26" s="2" t="s">
        <v>199</v>
      </c>
      <c r="K26" s="2" t="s">
        <v>200</v>
      </c>
      <c r="L26" s="2" t="s">
        <v>201</v>
      </c>
      <c r="M26" s="4" t="s">
        <v>202</v>
      </c>
      <c r="N26" s="2" t="s">
        <v>26</v>
      </c>
    </row>
    <row r="27" spans="1:14" ht="57" customHeight="1" x14ac:dyDescent="0.35">
      <c r="A27" s="2">
        <v>26</v>
      </c>
      <c r="B27" s="2" t="s">
        <v>203</v>
      </c>
      <c r="C27" s="2" t="s">
        <v>204</v>
      </c>
      <c r="D27" s="2" t="s">
        <v>205</v>
      </c>
      <c r="E27" s="2" t="s">
        <v>206</v>
      </c>
      <c r="F27" s="2" t="s">
        <v>19</v>
      </c>
      <c r="G27" s="2" t="s">
        <v>18</v>
      </c>
      <c r="H27" s="2" t="s">
        <v>207</v>
      </c>
      <c r="I27" s="2" t="s">
        <v>208</v>
      </c>
      <c r="J27" s="2" t="s">
        <v>209</v>
      </c>
      <c r="K27" s="2" t="s">
        <v>210</v>
      </c>
      <c r="L27" s="2" t="s">
        <v>211</v>
      </c>
      <c r="M27" s="4" t="s">
        <v>212</v>
      </c>
      <c r="N27" s="2" t="s">
        <v>26</v>
      </c>
    </row>
    <row r="28" spans="1:14" ht="57" customHeight="1" x14ac:dyDescent="0.35">
      <c r="A28" s="2">
        <v>27</v>
      </c>
      <c r="B28" s="2" t="s">
        <v>203</v>
      </c>
      <c r="C28" s="2" t="s">
        <v>213</v>
      </c>
      <c r="D28" s="2" t="s">
        <v>214</v>
      </c>
      <c r="E28" s="2" t="s">
        <v>206</v>
      </c>
      <c r="F28" s="2" t="s">
        <v>19</v>
      </c>
      <c r="G28" s="2" t="s">
        <v>18</v>
      </c>
      <c r="H28" s="2" t="s">
        <v>207</v>
      </c>
      <c r="I28" s="2" t="s">
        <v>215</v>
      </c>
      <c r="J28" s="2" t="s">
        <v>209</v>
      </c>
      <c r="K28" s="2" t="s">
        <v>216</v>
      </c>
      <c r="L28" s="2" t="s">
        <v>217</v>
      </c>
      <c r="M28" s="4" t="s">
        <v>218</v>
      </c>
      <c r="N28" s="2" t="s">
        <v>26</v>
      </c>
    </row>
    <row r="29" spans="1:14" ht="57" customHeight="1" x14ac:dyDescent="0.35">
      <c r="A29" s="2">
        <v>28</v>
      </c>
      <c r="B29" s="2" t="s">
        <v>203</v>
      </c>
      <c r="C29" s="2" t="s">
        <v>219</v>
      </c>
      <c r="D29" s="2" t="s">
        <v>220</v>
      </c>
      <c r="E29" s="2" t="s">
        <v>221</v>
      </c>
      <c r="F29" s="2" t="s">
        <v>19</v>
      </c>
      <c r="G29" s="2" t="s">
        <v>18</v>
      </c>
      <c r="H29" s="2" t="s">
        <v>207</v>
      </c>
      <c r="I29" s="2" t="s">
        <v>222</v>
      </c>
      <c r="J29" s="2" t="s">
        <v>209</v>
      </c>
      <c r="K29" s="2" t="s">
        <v>223</v>
      </c>
      <c r="L29" s="2" t="s">
        <v>224</v>
      </c>
      <c r="M29" s="4" t="s">
        <v>225</v>
      </c>
      <c r="N29" s="2" t="s">
        <v>26</v>
      </c>
    </row>
    <row r="30" spans="1:14" ht="57" customHeight="1" x14ac:dyDescent="0.35">
      <c r="A30" s="2">
        <v>29</v>
      </c>
      <c r="B30" s="2" t="s">
        <v>203</v>
      </c>
      <c r="C30" s="2" t="s">
        <v>226</v>
      </c>
      <c r="D30" s="2" t="s">
        <v>227</v>
      </c>
      <c r="E30" s="2" t="s">
        <v>206</v>
      </c>
      <c r="F30" s="2" t="s">
        <v>19</v>
      </c>
      <c r="G30" s="2" t="s">
        <v>18</v>
      </c>
      <c r="H30" s="2" t="s">
        <v>207</v>
      </c>
      <c r="I30" s="2" t="s">
        <v>228</v>
      </c>
      <c r="J30" s="2" t="s">
        <v>229</v>
      </c>
      <c r="K30" s="2" t="s">
        <v>230</v>
      </c>
      <c r="L30" s="2" t="s">
        <v>231</v>
      </c>
      <c r="M30" s="4" t="s">
        <v>232</v>
      </c>
      <c r="N30" s="2" t="s">
        <v>26</v>
      </c>
    </row>
    <row r="31" spans="1:14" ht="57" customHeight="1" x14ac:dyDescent="0.35">
      <c r="A31" s="2">
        <v>30</v>
      </c>
      <c r="B31" s="2" t="s">
        <v>203</v>
      </c>
      <c r="C31" s="2" t="s">
        <v>233</v>
      </c>
      <c r="D31" s="2" t="s">
        <v>234</v>
      </c>
      <c r="E31" s="2" t="s">
        <v>206</v>
      </c>
      <c r="F31" s="2" t="s">
        <v>19</v>
      </c>
      <c r="G31" s="2" t="s">
        <v>18</v>
      </c>
      <c r="H31" s="2" t="s">
        <v>207</v>
      </c>
      <c r="I31" s="2" t="s">
        <v>235</v>
      </c>
      <c r="J31" s="2" t="s">
        <v>236</v>
      </c>
      <c r="K31" s="2" t="s">
        <v>230</v>
      </c>
      <c r="L31" s="2" t="s">
        <v>237</v>
      </c>
      <c r="M31" s="4" t="s">
        <v>238</v>
      </c>
      <c r="N31" s="2" t="s">
        <v>26</v>
      </c>
    </row>
  </sheetData>
  <hyperlinks>
    <hyperlink ref="M2" r:id="rId1" xr:uid="{00000000-0004-0000-0000-000000000000}"/>
    <hyperlink ref="M3" r:id="rId2" xr:uid="{00000000-0004-0000-0000-000001000000}"/>
    <hyperlink ref="M5" r:id="rId3" xr:uid="{00000000-0004-0000-0000-000002000000}"/>
    <hyperlink ref="M6" r:id="rId4" xr:uid="{00000000-0004-0000-0000-000003000000}"/>
    <hyperlink ref="M8" r:id="rId5" xr:uid="{00000000-0004-0000-0000-000004000000}"/>
    <hyperlink ref="M9" r:id="rId6" xr:uid="{00000000-0004-0000-0000-000005000000}"/>
    <hyperlink ref="M10" r:id="rId7" xr:uid="{00000000-0004-0000-0000-000006000000}"/>
    <hyperlink ref="M11" r:id="rId8" xr:uid="{00000000-0004-0000-0000-000007000000}"/>
    <hyperlink ref="M12" r:id="rId9" xr:uid="{00000000-0004-0000-0000-000008000000}"/>
    <hyperlink ref="M16" r:id="rId10" xr:uid="{00000000-0004-0000-0000-000009000000}"/>
    <hyperlink ref="M17" r:id="rId11" xr:uid="{00000000-0004-0000-0000-00000A000000}"/>
    <hyperlink ref="M18" r:id="rId12" xr:uid="{00000000-0004-0000-0000-00000B000000}"/>
    <hyperlink ref="M19" r:id="rId13" xr:uid="{00000000-0004-0000-0000-00000C000000}"/>
    <hyperlink ref="M22" r:id="rId14" location="section=Drug-Indication" xr:uid="{00000000-0004-0000-0000-00000D000000}"/>
    <hyperlink ref="M24" r:id="rId15" xr:uid="{00000000-0004-0000-0000-00000E000000}"/>
    <hyperlink ref="M25" r:id="rId16" xr:uid="{00000000-0004-0000-0000-00000F000000}"/>
    <hyperlink ref="M26" r:id="rId17" xr:uid="{00000000-0004-0000-0000-000010000000}"/>
    <hyperlink ref="M27" r:id="rId18" xr:uid="{00000000-0004-0000-0000-000011000000}"/>
    <hyperlink ref="M28" r:id="rId19" xr:uid="{00000000-0004-0000-0000-000012000000}"/>
    <hyperlink ref="M29" r:id="rId20" xr:uid="{00000000-0004-0000-0000-000013000000}"/>
    <hyperlink ref="M30" r:id="rId21" xr:uid="{00000000-0004-0000-0000-000014000000}"/>
    <hyperlink ref="M31" r:id="rId22" xr:uid="{00000000-0004-0000-0000-000015000000}"/>
  </hyperlinks>
  <pageMargins left="0.7" right="0.7" top="0.75" bottom="0.75" header="0.511811023622047" footer="0.511811023622047"/>
  <pageSetup paperSize="9" orientation="portrait" horizontalDpi="300" verticalDpi="300"/>
  <tableParts count="1">
    <tablePart r:id="rId2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
  <sheetViews>
    <sheetView tabSelected="1" zoomScaleNormal="100" workbookViewId="0">
      <pane xSplit="5" ySplit="1" topLeftCell="F18" activePane="bottomRight" state="frozen"/>
      <selection pane="topRight" activeCell="H1" sqref="H1"/>
      <selection pane="bottomLeft" activeCell="A2" sqref="A2"/>
      <selection pane="bottomRight" activeCell="F1" sqref="F1"/>
    </sheetView>
  </sheetViews>
  <sheetFormatPr defaultColWidth="8.6328125" defaultRowHeight="14.5" x14ac:dyDescent="0.35"/>
  <cols>
    <col min="1" max="1" width="6" customWidth="1"/>
    <col min="2" max="2" width="10" customWidth="1"/>
    <col min="3" max="3" width="30" customWidth="1"/>
    <col min="4" max="4" width="22" customWidth="1"/>
    <col min="5" max="5" width="28" customWidth="1"/>
    <col min="6" max="6" width="32" customWidth="1"/>
    <col min="7" max="7" width="26" customWidth="1"/>
    <col min="8" max="8" width="34" customWidth="1"/>
    <col min="9" max="9" width="16" customWidth="1"/>
    <col min="10" max="11" width="14" customWidth="1"/>
    <col min="12" max="12" width="70" customWidth="1"/>
    <col min="13" max="13" width="28" customWidth="1"/>
    <col min="14" max="14" width="14" customWidth="1"/>
  </cols>
  <sheetData>
    <row r="1" spans="1:14" ht="43.5" customHeight="1" x14ac:dyDescent="0.35">
      <c r="A1" s="5" t="s">
        <v>0</v>
      </c>
      <c r="B1" s="5" t="s">
        <v>239</v>
      </c>
      <c r="C1" s="5" t="s">
        <v>1</v>
      </c>
      <c r="D1" s="5" t="s">
        <v>2</v>
      </c>
      <c r="E1" s="5" t="s">
        <v>3</v>
      </c>
      <c r="F1" s="5" t="s">
        <v>437</v>
      </c>
      <c r="G1" s="5" t="s">
        <v>240</v>
      </c>
      <c r="H1" s="5" t="s">
        <v>241</v>
      </c>
      <c r="I1" s="5" t="s">
        <v>242</v>
      </c>
      <c r="J1" s="5" t="s">
        <v>5</v>
      </c>
      <c r="K1" s="5" t="s">
        <v>243</v>
      </c>
      <c r="L1" s="5" t="s">
        <v>8</v>
      </c>
      <c r="M1" s="5" t="s">
        <v>11</v>
      </c>
      <c r="N1" s="5" t="s">
        <v>244</v>
      </c>
    </row>
    <row r="2" spans="1:14" ht="87" customHeight="1" x14ac:dyDescent="0.35">
      <c r="A2" s="6">
        <v>1</v>
      </c>
      <c r="B2" s="6">
        <v>1017</v>
      </c>
      <c r="C2" s="6" t="s">
        <v>245</v>
      </c>
      <c r="D2" s="6" t="s">
        <v>246</v>
      </c>
      <c r="E2" s="6" t="s">
        <v>247</v>
      </c>
      <c r="F2" s="6" t="s">
        <v>424</v>
      </c>
      <c r="G2" s="6" t="s">
        <v>248</v>
      </c>
      <c r="H2" s="7" t="s">
        <v>249</v>
      </c>
      <c r="I2" s="6" t="s">
        <v>250</v>
      </c>
      <c r="J2" s="6" t="s">
        <v>18</v>
      </c>
      <c r="K2" s="6" t="s">
        <v>18</v>
      </c>
      <c r="L2" s="6" t="s">
        <v>251</v>
      </c>
      <c r="M2" s="6" t="s">
        <v>18</v>
      </c>
      <c r="N2" s="8">
        <v>46319</v>
      </c>
    </row>
    <row r="3" spans="1:14" ht="72" customHeight="1" x14ac:dyDescent="0.35">
      <c r="A3" s="6">
        <v>2</v>
      </c>
      <c r="B3" s="6">
        <v>695</v>
      </c>
      <c r="C3" s="6" t="s">
        <v>252</v>
      </c>
      <c r="D3" s="6" t="s">
        <v>253</v>
      </c>
      <c r="E3" s="6" t="s">
        <v>254</v>
      </c>
      <c r="F3" s="6" t="s">
        <v>425</v>
      </c>
      <c r="G3" s="6" t="s">
        <v>255</v>
      </c>
      <c r="H3" s="7" t="s">
        <v>256</v>
      </c>
      <c r="I3" s="6" t="s">
        <v>257</v>
      </c>
      <c r="J3" s="6" t="s">
        <v>19</v>
      </c>
      <c r="K3" s="6" t="s">
        <v>19</v>
      </c>
      <c r="L3" s="6" t="s">
        <v>258</v>
      </c>
      <c r="M3" s="6" t="s">
        <v>19</v>
      </c>
      <c r="N3" s="6"/>
    </row>
    <row r="4" spans="1:14" ht="72" customHeight="1" x14ac:dyDescent="0.35">
      <c r="A4" s="6">
        <v>3</v>
      </c>
      <c r="B4" s="6">
        <v>599</v>
      </c>
      <c r="C4" s="6" t="s">
        <v>259</v>
      </c>
      <c r="D4" s="6" t="s">
        <v>260</v>
      </c>
      <c r="E4" s="6" t="s">
        <v>261</v>
      </c>
      <c r="F4" s="6" t="s">
        <v>262</v>
      </c>
      <c r="G4" s="6" t="s">
        <v>263</v>
      </c>
      <c r="H4" s="7" t="s">
        <v>264</v>
      </c>
      <c r="I4" s="6" t="s">
        <v>250</v>
      </c>
      <c r="J4" s="6" t="s">
        <v>18</v>
      </c>
      <c r="K4" s="6" t="s">
        <v>18</v>
      </c>
      <c r="L4" s="6" t="s">
        <v>265</v>
      </c>
      <c r="M4" s="6" t="s">
        <v>266</v>
      </c>
      <c r="N4" s="6"/>
    </row>
    <row r="5" spans="1:14" x14ac:dyDescent="0.35">
      <c r="A5" s="6">
        <v>4</v>
      </c>
      <c r="B5" s="6">
        <v>924</v>
      </c>
      <c r="C5" s="6" t="s">
        <v>252</v>
      </c>
      <c r="D5" s="6" t="s">
        <v>267</v>
      </c>
      <c r="E5" s="6" t="s">
        <v>268</v>
      </c>
      <c r="F5" s="6" t="s">
        <v>426</v>
      </c>
      <c r="G5" s="6" t="s">
        <v>269</v>
      </c>
      <c r="H5" s="7" t="s">
        <v>270</v>
      </c>
      <c r="I5" s="6" t="s">
        <v>250</v>
      </c>
      <c r="J5" s="6" t="s">
        <v>18</v>
      </c>
      <c r="K5" s="6" t="s">
        <v>18</v>
      </c>
      <c r="L5" t="s">
        <v>271</v>
      </c>
      <c r="M5" s="6" t="s">
        <v>266</v>
      </c>
      <c r="N5" s="6"/>
    </row>
    <row r="6" spans="1:14" ht="28.5" customHeight="1" x14ac:dyDescent="0.35">
      <c r="A6" s="6">
        <v>5</v>
      </c>
      <c r="B6" s="6">
        <v>662</v>
      </c>
      <c r="C6" s="6" t="s">
        <v>252</v>
      </c>
      <c r="D6" s="6" t="s">
        <v>272</v>
      </c>
      <c r="E6" s="6" t="s">
        <v>273</v>
      </c>
      <c r="F6" s="6" t="s">
        <v>427</v>
      </c>
      <c r="G6" s="6" t="s">
        <v>274</v>
      </c>
      <c r="H6" s="7" t="s">
        <v>275</v>
      </c>
      <c r="I6" s="6" t="s">
        <v>250</v>
      </c>
      <c r="J6" s="6" t="s">
        <v>18</v>
      </c>
      <c r="K6" s="6" t="s">
        <v>18</v>
      </c>
      <c r="L6" s="6" t="s">
        <v>276</v>
      </c>
      <c r="M6" s="6" t="s">
        <v>266</v>
      </c>
      <c r="N6" s="6"/>
    </row>
    <row r="7" spans="1:14" ht="43.5" customHeight="1" x14ac:dyDescent="0.35">
      <c r="A7" s="6">
        <v>6</v>
      </c>
      <c r="B7" s="6">
        <v>424</v>
      </c>
      <c r="C7" s="6" t="s">
        <v>259</v>
      </c>
      <c r="D7" s="6" t="s">
        <v>277</v>
      </c>
      <c r="E7" s="6" t="s">
        <v>278</v>
      </c>
      <c r="F7" s="6" t="s">
        <v>262</v>
      </c>
      <c r="G7" s="6" t="s">
        <v>279</v>
      </c>
      <c r="H7" s="7" t="s">
        <v>280</v>
      </c>
      <c r="I7" s="6" t="s">
        <v>250</v>
      </c>
      <c r="J7" s="6" t="s">
        <v>18</v>
      </c>
      <c r="K7" s="6" t="s">
        <v>18</v>
      </c>
      <c r="L7" t="s">
        <v>281</v>
      </c>
      <c r="M7" s="6" t="s">
        <v>266</v>
      </c>
      <c r="N7" s="6"/>
    </row>
    <row r="8" spans="1:14" ht="28.5" customHeight="1" x14ac:dyDescent="0.35">
      <c r="A8" s="6">
        <v>7</v>
      </c>
      <c r="B8" s="6">
        <v>899</v>
      </c>
      <c r="C8" s="6" t="s">
        <v>282</v>
      </c>
      <c r="D8" s="6" t="s">
        <v>283</v>
      </c>
      <c r="E8" s="6" t="s">
        <v>284</v>
      </c>
      <c r="F8" s="6" t="s">
        <v>428</v>
      </c>
      <c r="G8" s="6" t="s">
        <v>274</v>
      </c>
      <c r="H8" s="7" t="s">
        <v>285</v>
      </c>
      <c r="I8" s="6" t="s">
        <v>250</v>
      </c>
      <c r="J8" s="6" t="s">
        <v>18</v>
      </c>
      <c r="K8" s="6" t="s">
        <v>18</v>
      </c>
      <c r="L8" t="s">
        <v>286</v>
      </c>
      <c r="M8" s="6"/>
      <c r="N8" s="6"/>
    </row>
    <row r="9" spans="1:14" x14ac:dyDescent="0.35">
      <c r="A9" s="6">
        <v>8</v>
      </c>
      <c r="B9" s="6">
        <v>1067</v>
      </c>
      <c r="C9" s="6" t="s">
        <v>252</v>
      </c>
      <c r="D9" s="6" t="s">
        <v>287</v>
      </c>
      <c r="E9" s="6" t="s">
        <v>288</v>
      </c>
      <c r="F9" s="6" t="s">
        <v>262</v>
      </c>
      <c r="G9" s="6" t="s">
        <v>289</v>
      </c>
      <c r="H9" s="7" t="s">
        <v>290</v>
      </c>
      <c r="I9" s="6" t="s">
        <v>250</v>
      </c>
      <c r="J9" s="6" t="s">
        <v>18</v>
      </c>
      <c r="K9" s="6" t="s">
        <v>18</v>
      </c>
      <c r="L9" t="s">
        <v>291</v>
      </c>
      <c r="M9" s="6"/>
      <c r="N9" s="6"/>
    </row>
    <row r="10" spans="1:14" x14ac:dyDescent="0.35">
      <c r="A10" s="6">
        <v>9</v>
      </c>
      <c r="B10" s="6">
        <v>884</v>
      </c>
      <c r="C10" s="6" t="s">
        <v>252</v>
      </c>
      <c r="D10" s="6" t="s">
        <v>292</v>
      </c>
      <c r="E10" s="6" t="s">
        <v>293</v>
      </c>
      <c r="F10" s="6" t="s">
        <v>429</v>
      </c>
      <c r="G10" s="6" t="s">
        <v>294</v>
      </c>
      <c r="H10" s="7" t="s">
        <v>295</v>
      </c>
      <c r="I10" s="6" t="s">
        <v>250</v>
      </c>
      <c r="J10" s="6" t="s">
        <v>18</v>
      </c>
      <c r="K10" s="6" t="s">
        <v>18</v>
      </c>
      <c r="L10" t="s">
        <v>296</v>
      </c>
      <c r="M10" s="6"/>
      <c r="N10" s="6"/>
    </row>
    <row r="11" spans="1:14" x14ac:dyDescent="0.35">
      <c r="A11" s="6">
        <v>10</v>
      </c>
      <c r="B11" s="6">
        <v>1908</v>
      </c>
      <c r="C11" s="6" t="s">
        <v>282</v>
      </c>
      <c r="D11" s="6" t="s">
        <v>297</v>
      </c>
      <c r="E11" s="6" t="s">
        <v>298</v>
      </c>
      <c r="F11" s="6" t="s">
        <v>430</v>
      </c>
      <c r="G11" s="6" t="s">
        <v>274</v>
      </c>
      <c r="H11" s="7" t="s">
        <v>299</v>
      </c>
      <c r="I11" s="6" t="s">
        <v>250</v>
      </c>
      <c r="J11" s="6" t="s">
        <v>18</v>
      </c>
      <c r="K11" s="6" t="s">
        <v>18</v>
      </c>
      <c r="L11" t="s">
        <v>300</v>
      </c>
      <c r="M11" s="6" t="s">
        <v>266</v>
      </c>
      <c r="N11" s="6"/>
    </row>
    <row r="12" spans="1:14" ht="28.5" customHeight="1" x14ac:dyDescent="0.35">
      <c r="A12" s="6">
        <v>11</v>
      </c>
      <c r="B12" s="6">
        <v>1020</v>
      </c>
      <c r="C12" s="6" t="s">
        <v>252</v>
      </c>
      <c r="D12" s="6" t="s">
        <v>301</v>
      </c>
      <c r="E12" s="6" t="s">
        <v>302</v>
      </c>
      <c r="F12" s="6" t="s">
        <v>431</v>
      </c>
      <c r="G12" s="6" t="s">
        <v>255</v>
      </c>
      <c r="H12" s="7" t="s">
        <v>303</v>
      </c>
      <c r="I12" s="6" t="s">
        <v>304</v>
      </c>
      <c r="J12" s="6" t="s">
        <v>19</v>
      </c>
      <c r="K12" s="6" t="s">
        <v>19</v>
      </c>
      <c r="L12" t="s">
        <v>305</v>
      </c>
      <c r="M12" s="6"/>
      <c r="N12" s="6"/>
    </row>
    <row r="13" spans="1:14" ht="72" customHeight="1" x14ac:dyDescent="0.35">
      <c r="A13" s="6">
        <v>12</v>
      </c>
      <c r="B13" s="6">
        <v>1434</v>
      </c>
      <c r="C13" s="6" t="s">
        <v>252</v>
      </c>
      <c r="D13" s="6" t="s">
        <v>306</v>
      </c>
      <c r="E13" s="6" t="s">
        <v>307</v>
      </c>
      <c r="F13" s="6" t="s">
        <v>432</v>
      </c>
      <c r="G13" s="6" t="s">
        <v>269</v>
      </c>
      <c r="H13" s="7" t="s">
        <v>308</v>
      </c>
      <c r="I13" s="6" t="s">
        <v>250</v>
      </c>
      <c r="J13" s="6" t="s">
        <v>18</v>
      </c>
      <c r="K13" s="6" t="s">
        <v>18</v>
      </c>
      <c r="L13" s="6" t="s">
        <v>309</v>
      </c>
      <c r="M13" s="6"/>
      <c r="N13" s="6"/>
    </row>
    <row r="14" spans="1:14" ht="28.5" customHeight="1" x14ac:dyDescent="0.35">
      <c r="A14" s="6">
        <v>13</v>
      </c>
      <c r="B14" s="6">
        <v>239</v>
      </c>
      <c r="C14" s="6" t="s">
        <v>252</v>
      </c>
      <c r="D14" s="6" t="s">
        <v>310</v>
      </c>
      <c r="E14" s="6" t="s">
        <v>311</v>
      </c>
      <c r="F14" s="6" t="s">
        <v>433</v>
      </c>
      <c r="G14" s="6" t="s">
        <v>312</v>
      </c>
      <c r="H14" s="7" t="s">
        <v>313</v>
      </c>
      <c r="I14" s="6" t="s">
        <v>250</v>
      </c>
      <c r="J14" s="6" t="s">
        <v>18</v>
      </c>
      <c r="K14" s="6" t="s">
        <v>18</v>
      </c>
      <c r="L14" t="s">
        <v>314</v>
      </c>
      <c r="M14" s="6"/>
      <c r="N14" s="6"/>
    </row>
    <row r="15" spans="1:14" x14ac:dyDescent="0.35">
      <c r="A15" s="6">
        <v>14</v>
      </c>
      <c r="B15" s="6">
        <v>531</v>
      </c>
      <c r="C15" s="6" t="s">
        <v>282</v>
      </c>
      <c r="D15" s="6" t="s">
        <v>315</v>
      </c>
      <c r="E15" s="6" t="s">
        <v>316</v>
      </c>
      <c r="F15" s="6" t="s">
        <v>434</v>
      </c>
      <c r="G15" s="6" t="s">
        <v>317</v>
      </c>
      <c r="H15" s="7" t="s">
        <v>318</v>
      </c>
      <c r="I15" s="6" t="s">
        <v>250</v>
      </c>
      <c r="J15" s="6" t="s">
        <v>18</v>
      </c>
      <c r="K15" s="6" t="s">
        <v>18</v>
      </c>
      <c r="L15" t="s">
        <v>319</v>
      </c>
      <c r="M15" s="6"/>
      <c r="N15" s="6"/>
    </row>
    <row r="16" spans="1:14" ht="43.5" customHeight="1" x14ac:dyDescent="0.35">
      <c r="A16" s="6">
        <v>15</v>
      </c>
      <c r="B16" s="6">
        <v>842</v>
      </c>
      <c r="C16" s="6" t="s">
        <v>252</v>
      </c>
      <c r="D16" s="6" t="s">
        <v>320</v>
      </c>
      <c r="E16" s="6" t="s">
        <v>321</v>
      </c>
      <c r="F16" s="6" t="s">
        <v>262</v>
      </c>
      <c r="G16" s="6" t="s">
        <v>269</v>
      </c>
      <c r="H16" s="7" t="s">
        <v>322</v>
      </c>
      <c r="I16" s="6" t="s">
        <v>323</v>
      </c>
      <c r="J16" s="6" t="s">
        <v>18</v>
      </c>
      <c r="K16" s="6" t="s">
        <v>18</v>
      </c>
      <c r="L16" t="s">
        <v>324</v>
      </c>
      <c r="M16" s="6"/>
      <c r="N16" s="6"/>
    </row>
    <row r="17" spans="1:14" ht="43.5" customHeight="1" x14ac:dyDescent="0.35">
      <c r="A17" s="6">
        <v>16</v>
      </c>
      <c r="B17" s="6">
        <v>875</v>
      </c>
      <c r="C17" s="6" t="s">
        <v>259</v>
      </c>
      <c r="D17" s="6" t="s">
        <v>292</v>
      </c>
      <c r="E17" s="6" t="s">
        <v>325</v>
      </c>
      <c r="F17" s="6" t="s">
        <v>262</v>
      </c>
      <c r="G17" s="6" t="s">
        <v>312</v>
      </c>
      <c r="H17" s="7" t="s">
        <v>326</v>
      </c>
      <c r="I17" s="6" t="s">
        <v>250</v>
      </c>
      <c r="J17" s="6" t="s">
        <v>18</v>
      </c>
      <c r="K17" s="6" t="s">
        <v>18</v>
      </c>
      <c r="L17" t="s">
        <v>327</v>
      </c>
      <c r="M17" s="6"/>
      <c r="N17" s="6"/>
    </row>
    <row r="18" spans="1:14" ht="43.5" customHeight="1" x14ac:dyDescent="0.35">
      <c r="A18" s="6">
        <v>17</v>
      </c>
      <c r="B18" s="6">
        <v>1566</v>
      </c>
      <c r="C18" s="6" t="s">
        <v>259</v>
      </c>
      <c r="D18" s="6" t="s">
        <v>328</v>
      </c>
      <c r="E18" s="6" t="s">
        <v>36</v>
      </c>
      <c r="F18" s="6" t="s">
        <v>262</v>
      </c>
      <c r="G18" s="6" t="s">
        <v>329</v>
      </c>
      <c r="H18" s="7" t="s">
        <v>330</v>
      </c>
      <c r="I18" s="6" t="s">
        <v>250</v>
      </c>
      <c r="J18" s="6" t="s">
        <v>18</v>
      </c>
      <c r="K18" s="6" t="s">
        <v>18</v>
      </c>
      <c r="L18" t="s">
        <v>331</v>
      </c>
      <c r="M18" s="6"/>
      <c r="N18" s="6"/>
    </row>
    <row r="19" spans="1:14" ht="28.5" customHeight="1" x14ac:dyDescent="0.35">
      <c r="A19" s="6">
        <v>18</v>
      </c>
      <c r="B19" s="6">
        <v>679</v>
      </c>
      <c r="C19" s="6" t="s">
        <v>252</v>
      </c>
      <c r="D19" s="6" t="s">
        <v>332</v>
      </c>
      <c r="E19" s="6" t="s">
        <v>333</v>
      </c>
      <c r="F19" s="6" t="s">
        <v>435</v>
      </c>
      <c r="G19" s="6" t="s">
        <v>289</v>
      </c>
      <c r="H19" s="7" t="s">
        <v>334</v>
      </c>
      <c r="I19" s="6" t="s">
        <v>250</v>
      </c>
      <c r="J19" s="6" t="s">
        <v>18</v>
      </c>
      <c r="K19" s="6" t="s">
        <v>18</v>
      </c>
      <c r="L19" t="s">
        <v>335</v>
      </c>
      <c r="M19" s="6"/>
      <c r="N19" s="6"/>
    </row>
    <row r="20" spans="1:14" ht="43.5" customHeight="1" x14ac:dyDescent="0.35">
      <c r="A20" s="6">
        <v>19</v>
      </c>
      <c r="B20" s="6">
        <v>2110</v>
      </c>
      <c r="C20" s="6" t="s">
        <v>252</v>
      </c>
      <c r="D20" s="6" t="s">
        <v>336</v>
      </c>
      <c r="E20" s="6" t="s">
        <v>337</v>
      </c>
      <c r="F20" s="6" t="s">
        <v>262</v>
      </c>
      <c r="G20" s="6" t="s">
        <v>269</v>
      </c>
      <c r="H20" s="7" t="s">
        <v>338</v>
      </c>
      <c r="I20" s="6" t="s">
        <v>250</v>
      </c>
      <c r="J20" s="6" t="s">
        <v>18</v>
      </c>
      <c r="K20" s="6" t="s">
        <v>18</v>
      </c>
      <c r="L20" t="s">
        <v>339</v>
      </c>
      <c r="M20" s="6"/>
      <c r="N20" s="6"/>
    </row>
    <row r="21" spans="1:14" ht="28.5" customHeight="1" x14ac:dyDescent="0.35">
      <c r="A21" s="6">
        <v>20</v>
      </c>
      <c r="B21" s="6">
        <v>1460</v>
      </c>
      <c r="C21" s="6" t="s">
        <v>245</v>
      </c>
      <c r="D21" s="6" t="s">
        <v>340</v>
      </c>
      <c r="E21" s="6" t="s">
        <v>341</v>
      </c>
      <c r="F21" s="6" t="s">
        <v>436</v>
      </c>
      <c r="G21" s="6" t="s">
        <v>342</v>
      </c>
      <c r="H21" s="7" t="s">
        <v>343</v>
      </c>
      <c r="I21" s="6" t="s">
        <v>250</v>
      </c>
      <c r="J21" s="6" t="s">
        <v>18</v>
      </c>
      <c r="K21" s="6" t="s">
        <v>18</v>
      </c>
      <c r="L21" t="s">
        <v>344</v>
      </c>
      <c r="M21" s="6"/>
      <c r="N21" s="6"/>
    </row>
  </sheetData>
  <dataValidations count="2">
    <dataValidation type="list" allowBlank="1" sqref="I2:I21" xr:uid="{00000000-0002-0000-0100-000000000000}">
      <formula1>"CORRECT,INCORRECT,UNSURE"</formula1>
      <formula2>0</formula2>
    </dataValidation>
    <dataValidation type="list" allowBlank="1" sqref="J2:K21" xr:uid="{00000000-0002-0000-0100-000001000000}">
      <formula1>"YES,NO,UNCERTAIN"</formula1>
      <formula2>0</formula2>
    </dataValidation>
  </dataValidations>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 ref="H21" r:id="rId20" xr:uid="{00000000-0004-0000-0100-000013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5"/>
  <sheetViews>
    <sheetView topLeftCell="A12" zoomScaleNormal="100" workbookViewId="0">
      <selection activeCell="A22" sqref="A22"/>
    </sheetView>
  </sheetViews>
  <sheetFormatPr defaultColWidth="8.6328125" defaultRowHeight="14.5" x14ac:dyDescent="0.35"/>
  <cols>
    <col min="1" max="1" width="42" customWidth="1"/>
    <col min="2" max="2" width="90" customWidth="1"/>
    <col min="3" max="3" width="27" customWidth="1"/>
    <col min="4" max="4" width="24" customWidth="1"/>
    <col min="5" max="5" width="30" customWidth="1"/>
  </cols>
  <sheetData>
    <row r="1" spans="1:3" ht="19.5" customHeight="1" x14ac:dyDescent="0.35">
      <c r="A1" s="3" t="s">
        <v>345</v>
      </c>
      <c r="B1" s="3" t="s">
        <v>346</v>
      </c>
      <c r="C1" s="3" t="s">
        <v>347</v>
      </c>
    </row>
    <row r="2" spans="1:3" x14ac:dyDescent="0.35">
      <c r="A2" s="2" t="s">
        <v>14</v>
      </c>
      <c r="B2" s="2">
        <v>5</v>
      </c>
      <c r="C2" s="2">
        <v>24</v>
      </c>
    </row>
    <row r="3" spans="1:3" x14ac:dyDescent="0.35">
      <c r="A3" s="2" t="s">
        <v>60</v>
      </c>
      <c r="B3" s="2">
        <v>20</v>
      </c>
      <c r="C3" s="2">
        <v>964</v>
      </c>
    </row>
    <row r="4" spans="1:3" x14ac:dyDescent="0.35">
      <c r="A4" s="2" t="s">
        <v>203</v>
      </c>
      <c r="B4" s="2">
        <v>5</v>
      </c>
      <c r="C4" s="2">
        <v>48</v>
      </c>
    </row>
    <row r="5" spans="1:3" x14ac:dyDescent="0.35">
      <c r="A5" s="2" t="s">
        <v>348</v>
      </c>
      <c r="B5" s="2">
        <v>30</v>
      </c>
      <c r="C5" s="2">
        <v>1036</v>
      </c>
    </row>
    <row r="6" spans="1:3" x14ac:dyDescent="0.35">
      <c r="A6" s="2"/>
      <c r="B6" s="2"/>
      <c r="C6" s="2"/>
    </row>
    <row r="7" spans="1:3" x14ac:dyDescent="0.35">
      <c r="A7" s="3" t="s">
        <v>349</v>
      </c>
      <c r="B7" s="3" t="s">
        <v>350</v>
      </c>
      <c r="C7" s="2"/>
    </row>
    <row r="8" spans="1:3" x14ac:dyDescent="0.35">
      <c r="A8" s="2" t="s">
        <v>351</v>
      </c>
      <c r="B8" s="2">
        <v>500</v>
      </c>
      <c r="C8" s="2"/>
    </row>
    <row r="9" spans="1:3" x14ac:dyDescent="0.35">
      <c r="A9" s="2" t="s">
        <v>352</v>
      </c>
      <c r="B9" s="2">
        <v>2110</v>
      </c>
      <c r="C9" s="2"/>
    </row>
    <row r="10" spans="1:3" x14ac:dyDescent="0.35">
      <c r="A10" s="2" t="s">
        <v>353</v>
      </c>
      <c r="B10" s="2">
        <v>1074</v>
      </c>
      <c r="C10" s="2"/>
    </row>
    <row r="11" spans="1:3" x14ac:dyDescent="0.35">
      <c r="A11" s="2" t="s">
        <v>354</v>
      </c>
      <c r="B11" s="2">
        <v>1036</v>
      </c>
      <c r="C11" s="2"/>
    </row>
    <row r="12" spans="1:3" x14ac:dyDescent="0.35">
      <c r="A12" s="2" t="s">
        <v>355</v>
      </c>
      <c r="B12" s="2">
        <v>30</v>
      </c>
      <c r="C12" s="2"/>
    </row>
    <row r="13" spans="1:3" x14ac:dyDescent="0.35">
      <c r="A13" s="2"/>
      <c r="B13" s="2"/>
      <c r="C13" s="2"/>
    </row>
    <row r="14" spans="1:3" x14ac:dyDescent="0.35">
      <c r="A14" s="3" t="s">
        <v>356</v>
      </c>
      <c r="B14" s="3" t="s">
        <v>357</v>
      </c>
      <c r="C14" s="2"/>
    </row>
    <row r="15" spans="1:3" x14ac:dyDescent="0.35">
      <c r="A15" s="2" t="s">
        <v>358</v>
      </c>
      <c r="B15" s="2" t="s">
        <v>359</v>
      </c>
      <c r="C15" s="2"/>
    </row>
    <row r="16" spans="1:3" x14ac:dyDescent="0.35">
      <c r="A16" s="2" t="s">
        <v>360</v>
      </c>
      <c r="B16" s="2" t="s">
        <v>361</v>
      </c>
      <c r="C16" s="2"/>
    </row>
    <row r="17" spans="1:3" ht="27.75" customHeight="1" x14ac:dyDescent="0.35">
      <c r="A17" s="2" t="s">
        <v>362</v>
      </c>
      <c r="B17" s="2" t="s">
        <v>363</v>
      </c>
      <c r="C17" s="2"/>
    </row>
    <row r="19" spans="1:3" x14ac:dyDescent="0.35">
      <c r="A19" s="9" t="s">
        <v>364</v>
      </c>
      <c r="B19" s="9" t="s">
        <v>350</v>
      </c>
      <c r="C19" s="9" t="s">
        <v>365</v>
      </c>
    </row>
    <row r="20" spans="1:3" x14ac:dyDescent="0.35">
      <c r="A20" s="10" t="s">
        <v>366</v>
      </c>
      <c r="B20" s="10">
        <f>COUNTA('20 Confirmed Sample'!B2:B21)</f>
        <v>20</v>
      </c>
      <c r="C20" s="10" t="s">
        <v>367</v>
      </c>
    </row>
    <row r="21" spans="1:3" x14ac:dyDescent="0.35">
      <c r="A21" s="10" t="s">
        <v>368</v>
      </c>
      <c r="B21" s="10">
        <f>COUNTA('20 Confirmed Sample'!I2:I21)</f>
        <v>20</v>
      </c>
      <c r="C21" s="10"/>
    </row>
    <row r="22" spans="1:3" x14ac:dyDescent="0.35">
      <c r="A22" s="10" t="s">
        <v>250</v>
      </c>
      <c r="B22" s="10">
        <f>COUNTIF('20 Confirmed Sample'!I2:I21,"CORRECT")</f>
        <v>17</v>
      </c>
      <c r="C22" s="10"/>
    </row>
    <row r="23" spans="1:3" x14ac:dyDescent="0.35">
      <c r="A23" s="10" t="s">
        <v>304</v>
      </c>
      <c r="B23" s="10">
        <f>COUNTIF('20 Confirmed Sample'!I2:I21,"INCORRECT")</f>
        <v>2</v>
      </c>
      <c r="C23" s="10"/>
    </row>
    <row r="24" spans="1:3" x14ac:dyDescent="0.35">
      <c r="A24" s="10" t="s">
        <v>369</v>
      </c>
      <c r="B24" s="10">
        <f>COUNTIF('20 Confirmed Sample'!I2:I21,"UNSURE")</f>
        <v>0</v>
      </c>
      <c r="C24" s="10"/>
    </row>
    <row r="25" spans="1:3" x14ac:dyDescent="0.35">
      <c r="A25" s="10" t="s">
        <v>370</v>
      </c>
      <c r="B25" s="11">
        <f>IF(B21=0,"",B22/B21)</f>
        <v>0.85</v>
      </c>
      <c r="C25" s="10" t="s">
        <v>371</v>
      </c>
    </row>
    <row r="26" spans="1:3" x14ac:dyDescent="0.35">
      <c r="A26" s="10" t="s">
        <v>372</v>
      </c>
      <c r="B26" s="11">
        <f>IF(B21=0,"",(B25+1.96^2/(2*B21)-1.96*SQRT(B25*(1-B25)/B21+1.96^2/(4*B21^2)))/(1+1.96^2/B21))</f>
        <v>0.63957670411304257</v>
      </c>
      <c r="C26" s="10" t="s">
        <v>373</v>
      </c>
    </row>
    <row r="27" spans="1:3" x14ac:dyDescent="0.35">
      <c r="A27" s="10" t="s">
        <v>374</v>
      </c>
      <c r="B27" s="11">
        <f>IF(B21=0,"",(B25+1.96^2/(2*B21)+1.96*SQRT(B25*(1-B25)/B21+1.96^2/(4*B21^2)))/(1+1.96^2/B21))</f>
        <v>0.94763220804050408</v>
      </c>
      <c r="C27" s="10"/>
    </row>
    <row r="30" spans="1:3" x14ac:dyDescent="0.35">
      <c r="A30" s="9" t="s">
        <v>375</v>
      </c>
      <c r="B30" s="9" t="s">
        <v>350</v>
      </c>
      <c r="C30" s="9" t="s">
        <v>365</v>
      </c>
    </row>
    <row r="31" spans="1:3" x14ac:dyDescent="0.35">
      <c r="A31" s="10" t="s">
        <v>376</v>
      </c>
      <c r="B31" s="10">
        <f>COUNTA('30 Case Audit'!A2:A31)</f>
        <v>30</v>
      </c>
      <c r="C31" s="10" t="s">
        <v>377</v>
      </c>
    </row>
    <row r="32" spans="1:3" x14ac:dyDescent="0.35">
      <c r="A32" s="10" t="s">
        <v>378</v>
      </c>
      <c r="B32" s="10">
        <f>COUNTIF('30 Case Audit'!F2:F31,"YES")</f>
        <v>17</v>
      </c>
      <c r="C32" s="10" t="s">
        <v>379</v>
      </c>
    </row>
    <row r="33" spans="1:5" x14ac:dyDescent="0.35">
      <c r="A33" s="10" t="s">
        <v>380</v>
      </c>
      <c r="B33" s="10">
        <f>COUNTIF('30 Case Audit'!F2:F31,"NO")</f>
        <v>11</v>
      </c>
      <c r="C33" s="10"/>
    </row>
    <row r="34" spans="1:5" x14ac:dyDescent="0.35">
      <c r="A34" s="10" t="s">
        <v>381</v>
      </c>
      <c r="B34" s="10">
        <f>B31-B32-B33</f>
        <v>2</v>
      </c>
      <c r="C34" s="10" t="s">
        <v>382</v>
      </c>
    </row>
    <row r="35" spans="1:5" x14ac:dyDescent="0.35">
      <c r="A35" s="10" t="s">
        <v>383</v>
      </c>
      <c r="B35" s="10">
        <f>COUNTIF('30 Case Audit'!G2:G31,"YES")</f>
        <v>7</v>
      </c>
      <c r="C35" s="10" t="s">
        <v>384</v>
      </c>
    </row>
    <row r="36" spans="1:5" x14ac:dyDescent="0.35">
      <c r="A36" s="10" t="s">
        <v>385</v>
      </c>
      <c r="B36" s="10">
        <f>COUNTIF('30 Case Audit'!G2:G31,"NO")</f>
        <v>22</v>
      </c>
      <c r="C36" s="10"/>
    </row>
    <row r="37" spans="1:5" x14ac:dyDescent="0.35">
      <c r="A37" s="10" t="s">
        <v>386</v>
      </c>
      <c r="B37" s="10">
        <f>B31-B35-B36</f>
        <v>1</v>
      </c>
      <c r="C37" s="10"/>
    </row>
    <row r="39" spans="1:5" x14ac:dyDescent="0.35">
      <c r="A39" s="9" t="s">
        <v>387</v>
      </c>
      <c r="B39" s="9" t="s">
        <v>388</v>
      </c>
      <c r="C39" s="9" t="s">
        <v>389</v>
      </c>
      <c r="D39" s="9" t="s">
        <v>383</v>
      </c>
      <c r="E39" s="9" t="s">
        <v>390</v>
      </c>
    </row>
    <row r="40" spans="1:5" x14ac:dyDescent="0.35">
      <c r="A40" s="10" t="s">
        <v>14</v>
      </c>
      <c r="B40" s="10">
        <f>COUNTIF('30 Case Audit'!B2:B31,A40)</f>
        <v>5</v>
      </c>
      <c r="C40" s="10">
        <f>COUNTIFS('30 Case Audit'!B2:B31,A40,'30 Case Audit'!F2:F31,"YES")</f>
        <v>0</v>
      </c>
      <c r="D40" s="10">
        <f>COUNTIFS('30 Case Audit'!B2:B31,A40,'30 Case Audit'!G2:G31,"YES")</f>
        <v>3</v>
      </c>
      <c r="E40" s="10">
        <f>B40-C40-D40</f>
        <v>2</v>
      </c>
    </row>
    <row r="41" spans="1:5" x14ac:dyDescent="0.35">
      <c r="A41" s="10" t="s">
        <v>60</v>
      </c>
      <c r="B41" s="10">
        <f>COUNTIF('30 Case Audit'!B2:B31,A41)</f>
        <v>20</v>
      </c>
      <c r="C41" s="10">
        <f>COUNTIFS('30 Case Audit'!B2:B31,A41,'30 Case Audit'!F2:F31,"YES")</f>
        <v>12</v>
      </c>
      <c r="D41" s="10">
        <f>COUNTIFS('30 Case Audit'!B2:B31,A41,'30 Case Audit'!G2:G31,"YES")</f>
        <v>4</v>
      </c>
      <c r="E41" s="10">
        <f>B41-C41-D41</f>
        <v>4</v>
      </c>
    </row>
    <row r="42" spans="1:5" x14ac:dyDescent="0.35">
      <c r="A42" s="10" t="s">
        <v>203</v>
      </c>
      <c r="B42" s="10">
        <f>COUNTIF('30 Case Audit'!B2:B31,A42)</f>
        <v>5</v>
      </c>
      <c r="C42" s="10">
        <f>COUNTIFS('30 Case Audit'!B2:B31,A42,'30 Case Audit'!F2:F31,"YES")</f>
        <v>5</v>
      </c>
      <c r="D42" s="10">
        <f>COUNTIFS('30 Case Audit'!B2:B31,A42,'30 Case Audit'!G2:G31,"YES")</f>
        <v>0</v>
      </c>
      <c r="E42" s="10">
        <f>B42-C42-D42</f>
        <v>0</v>
      </c>
    </row>
    <row r="43" spans="1:5" x14ac:dyDescent="0.35">
      <c r="A43" s="9" t="s">
        <v>348</v>
      </c>
      <c r="B43" s="9">
        <f>SUM(B40:B42)</f>
        <v>30</v>
      </c>
      <c r="C43" s="9">
        <f>SUM(C40:C42)</f>
        <v>17</v>
      </c>
      <c r="D43" s="9">
        <f>SUM(D40:D42)</f>
        <v>7</v>
      </c>
      <c r="E43" s="9">
        <f>SUM(E40:E42)</f>
        <v>6</v>
      </c>
    </row>
    <row r="45" spans="1:5" x14ac:dyDescent="0.35">
      <c r="A45" s="9" t="s">
        <v>7</v>
      </c>
      <c r="B45" s="9" t="s">
        <v>391</v>
      </c>
      <c r="C45" s="9" t="s">
        <v>392</v>
      </c>
    </row>
    <row r="46" spans="1:5" x14ac:dyDescent="0.35">
      <c r="A46" s="10" t="s">
        <v>64</v>
      </c>
      <c r="B46" s="10">
        <f>COUNTIF('30 Case Audit'!H2:H31,"Extraction error")</f>
        <v>8</v>
      </c>
      <c r="C46" s="12">
        <f t="shared" ref="C46:C53" si="0">IF($B$31=0,"",B46/$B$31)</f>
        <v>0.26666666666666666</v>
      </c>
    </row>
    <row r="47" spans="1:5" x14ac:dyDescent="0.35">
      <c r="A47" s="10" t="s">
        <v>6</v>
      </c>
      <c r="B47" s="10">
        <f>COUNTIF('30 Case Audit'!H2:H31,"validator false negative")</f>
        <v>5</v>
      </c>
      <c r="C47" s="12">
        <f t="shared" si="0"/>
        <v>0.16666666666666666</v>
      </c>
    </row>
    <row r="48" spans="1:5" x14ac:dyDescent="0.35">
      <c r="A48" s="10" t="s">
        <v>30</v>
      </c>
      <c r="B48" s="10">
        <f>COUNTIF('30 Case Audit'!H2:H31,"Supported with qualifier")</f>
        <v>1</v>
      </c>
      <c r="C48" s="12">
        <f t="shared" si="0"/>
        <v>3.3333333333333333E-2</v>
      </c>
    </row>
    <row r="49" spans="1:5" x14ac:dyDescent="0.35">
      <c r="A49" s="10" t="s">
        <v>39</v>
      </c>
      <c r="B49" s="10">
        <f>COUNTIF('30 Case Audit'!H2:H31,"Keep in review")</f>
        <v>8</v>
      </c>
      <c r="C49" s="12">
        <f t="shared" si="0"/>
        <v>0.26666666666666666</v>
      </c>
    </row>
    <row r="50" spans="1:5" x14ac:dyDescent="0.35">
      <c r="A50" s="10" t="s">
        <v>167</v>
      </c>
      <c r="B50" s="10">
        <f>COUNTIF('30 Case Audit'!H2:H31,"Do not auto-approve*")</f>
        <v>2</v>
      </c>
      <c r="C50" s="12">
        <f t="shared" si="0"/>
        <v>6.6666666666666666E-2</v>
      </c>
    </row>
    <row r="51" spans="1:5" x14ac:dyDescent="0.35">
      <c r="A51" s="10" t="s">
        <v>189</v>
      </c>
      <c r="B51" s="10">
        <f>COUNTIF('30 Case Audit'!H2:H31,"Revise extracted target")</f>
        <v>1</v>
      </c>
      <c r="C51" s="12">
        <f t="shared" si="0"/>
        <v>3.3333333333333333E-2</v>
      </c>
    </row>
    <row r="52" spans="1:5" x14ac:dyDescent="0.35">
      <c r="A52" s="10" t="s">
        <v>207</v>
      </c>
      <c r="B52" s="10">
        <f>COUNTIF('30 Case Audit'!H2:H31,"Safety gate appropriate")</f>
        <v>5</v>
      </c>
      <c r="C52" s="12">
        <f t="shared" si="0"/>
        <v>0.16666666666666666</v>
      </c>
    </row>
    <row r="53" spans="1:5" x14ac:dyDescent="0.35">
      <c r="A53" s="9" t="s">
        <v>393</v>
      </c>
      <c r="B53" s="9">
        <f>SUM(B46:B52)</f>
        <v>30</v>
      </c>
      <c r="C53" s="13">
        <f t="shared" si="0"/>
        <v>1</v>
      </c>
      <c r="D53" s="9"/>
      <c r="E53" s="9"/>
    </row>
    <row r="55" spans="1:5" x14ac:dyDescent="0.35">
      <c r="A55" s="10" t="s">
        <v>394</v>
      </c>
      <c r="B55" s="10" t="s">
        <v>395</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zoomScaleNormal="100" workbookViewId="0"/>
  </sheetViews>
  <sheetFormatPr defaultColWidth="8.6328125" defaultRowHeight="14.5" x14ac:dyDescent="0.35"/>
  <cols>
    <col min="1" max="1" width="32" customWidth="1"/>
    <col min="2" max="2" width="105" customWidth="1"/>
  </cols>
  <sheetData>
    <row r="1" spans="1:2" ht="19.5" customHeight="1" x14ac:dyDescent="0.35">
      <c r="A1" s="3" t="s">
        <v>396</v>
      </c>
      <c r="B1" s="3" t="s">
        <v>397</v>
      </c>
    </row>
    <row r="2" spans="1:2" ht="25.5" customHeight="1" x14ac:dyDescent="0.35">
      <c r="A2" s="2" t="s">
        <v>398</v>
      </c>
      <c r="B2" s="2" t="s">
        <v>399</v>
      </c>
    </row>
    <row r="3" spans="1:2" ht="25.5" customHeight="1" x14ac:dyDescent="0.35">
      <c r="A3" s="2" t="s">
        <v>400</v>
      </c>
      <c r="B3" s="2" t="s">
        <v>401</v>
      </c>
    </row>
    <row r="4" spans="1:2" ht="25.5" customHeight="1" x14ac:dyDescent="0.35">
      <c r="A4" s="2" t="s">
        <v>1</v>
      </c>
      <c r="B4" s="2" t="s">
        <v>402</v>
      </c>
    </row>
    <row r="5" spans="1:2" ht="25.5" customHeight="1" x14ac:dyDescent="0.35">
      <c r="A5" s="2" t="s">
        <v>4</v>
      </c>
      <c r="B5" s="2" t="s">
        <v>403</v>
      </c>
    </row>
    <row r="6" spans="1:2" ht="25.5" customHeight="1" x14ac:dyDescent="0.35">
      <c r="A6" s="2" t="s">
        <v>7</v>
      </c>
      <c r="B6" s="2" t="s">
        <v>404</v>
      </c>
    </row>
    <row r="7" spans="1:2" ht="25.5" customHeight="1" x14ac:dyDescent="0.35">
      <c r="A7" s="2" t="s">
        <v>8</v>
      </c>
      <c r="B7" s="2" t="s">
        <v>405</v>
      </c>
    </row>
    <row r="8" spans="1:2" ht="25.5" customHeight="1" x14ac:dyDescent="0.35">
      <c r="A8" s="2" t="s">
        <v>9</v>
      </c>
      <c r="B8" s="2" t="s">
        <v>406</v>
      </c>
    </row>
    <row r="9" spans="1:2" ht="25.5" customHeight="1" x14ac:dyDescent="0.35">
      <c r="A9" s="2" t="s">
        <v>10</v>
      </c>
      <c r="B9" s="2" t="s">
        <v>407</v>
      </c>
    </row>
    <row r="10" spans="1:2" ht="25.5" customHeight="1" x14ac:dyDescent="0.35">
      <c r="A10" s="2" t="s">
        <v>12</v>
      </c>
      <c r="B10" s="2" t="s">
        <v>408</v>
      </c>
    </row>
    <row r="11" spans="1:2" ht="25.5" customHeight="1" x14ac:dyDescent="0.35">
      <c r="A11" s="2" t="s">
        <v>244</v>
      </c>
      <c r="B11" s="2" t="s">
        <v>409</v>
      </c>
    </row>
    <row r="12" spans="1:2" ht="25.5" customHeight="1" x14ac:dyDescent="0.35">
      <c r="A12" s="2" t="s">
        <v>410</v>
      </c>
      <c r="B12" s="2" t="s">
        <v>411</v>
      </c>
    </row>
    <row r="13" spans="1:2" ht="25.5" customHeight="1" x14ac:dyDescent="0.35">
      <c r="A13" s="2" t="s">
        <v>412</v>
      </c>
      <c r="B13" s="2" t="s">
        <v>413</v>
      </c>
    </row>
    <row r="14" spans="1:2" ht="25.5" customHeight="1" x14ac:dyDescent="0.35">
      <c r="A14" s="2" t="s">
        <v>414</v>
      </c>
      <c r="B14" s="2" t="s">
        <v>415</v>
      </c>
    </row>
    <row r="15" spans="1:2" ht="25.5" customHeight="1" x14ac:dyDescent="0.35">
      <c r="A15" s="2" t="s">
        <v>416</v>
      </c>
      <c r="B15" s="2" t="s">
        <v>417</v>
      </c>
    </row>
    <row r="16" spans="1:2" ht="28.5" customHeight="1" x14ac:dyDescent="0.35">
      <c r="A16" s="10" t="s">
        <v>418</v>
      </c>
      <c r="B16" s="6" t="s">
        <v>419</v>
      </c>
    </row>
    <row r="17" spans="1:2" ht="28.5" customHeight="1" x14ac:dyDescent="0.35">
      <c r="A17" s="10" t="s">
        <v>242</v>
      </c>
      <c r="B17" s="6" t="s">
        <v>420</v>
      </c>
    </row>
    <row r="18" spans="1:2" x14ac:dyDescent="0.35">
      <c r="A18" s="10" t="s">
        <v>243</v>
      </c>
      <c r="B18" s="6" t="s">
        <v>421</v>
      </c>
    </row>
    <row r="19" spans="1:2" x14ac:dyDescent="0.35">
      <c r="A19" s="10" t="s">
        <v>422</v>
      </c>
      <c r="B19" s="6" t="s">
        <v>423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30 Case Audit</vt:lpstr>
      <vt:lpstr>20 Confirmed Sample</vt:lpstr>
      <vt:lpstr>Audit Summary</vt:lpstr>
      <vt:lpstr>Method and 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Marwa Mustafa</cp:lastModifiedBy>
  <cp:revision>0</cp:revision>
  <dcterms:created xsi:type="dcterms:W3CDTF">2026-10-23T18:48:08Z</dcterms:created>
  <dcterms:modified xsi:type="dcterms:W3CDTF">2026-10-24T13:12:05Z</dcterms:modified>
  <dc:language>en-US</dc:language>
</cp:coreProperties>
</file>